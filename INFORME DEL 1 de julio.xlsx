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08fc8ce8cbaa609/Escritorio/"/>
    </mc:Choice>
  </mc:AlternateContent>
  <xr:revisionPtr revIDLastSave="0" documentId="8_{6624909A-9AB3-4BB5-9E0A-0267635FA646}" xr6:coauthVersionLast="47" xr6:coauthVersionMax="47" xr10:uidLastSave="{00000000-0000-0000-0000-000000000000}"/>
  <bookViews>
    <workbookView xWindow="-104" yWindow="-104" windowWidth="22326" windowHeight="13329" tabRatio="945" firstSheet="8" activeTab="15" xr2:uid="{00000000-000D-0000-FFFF-FFFF00000000}"/>
  </bookViews>
  <sheets>
    <sheet name="BALANCAN" sheetId="1" r:id="rId1"/>
    <sheet name="CENTLA" sheetId="2" r:id="rId2"/>
    <sheet name="COMALCALCO" sheetId="22" r:id="rId3"/>
    <sheet name="DURANGO" sheetId="29" r:id="rId4"/>
    <sheet name="ENSENADA" sheetId="31" r:id="rId5"/>
    <sheet name="JALPA" sheetId="4" r:id="rId6"/>
    <sheet name="JALAPA" sheetId="3" r:id="rId7"/>
    <sheet name="JONUTA" sheetId="5" r:id="rId8"/>
    <sheet name="MERIDA" sheetId="6" r:id="rId9"/>
    <sheet name="NACAJUCA" sheetId="7" r:id="rId10"/>
    <sheet name="NAUCALPAN" sheetId="8" r:id="rId11"/>
    <sheet name="PARAISO" sheetId="9" r:id="rId12"/>
    <sheet name="PICHU" sheetId="10" r:id="rId13"/>
    <sheet name="PLAYA" sheetId="11" r:id="rId14"/>
    <sheet name="TUXTLA" sheetId="12" r:id="rId15"/>
    <sheet name="TEAPA" sheetId="13" r:id="rId16"/>
    <sheet name="TULUM" sheetId="14" r:id="rId17"/>
    <sheet name="XOCHI" sheetId="15" r:id="rId18"/>
    <sheet name="VERACRUZ" sheetId="30" r:id="rId19"/>
    <sheet name="ZITACUARO" sheetId="17" r:id="rId20"/>
    <sheet name="GENERAL" sheetId="18" r:id="rId21"/>
    <sheet name="GRAFICAS" sheetId="24" r:id="rId22"/>
    <sheet name="Hoja1" sheetId="23" r:id="rId23"/>
  </sheets>
  <externalReferences>
    <externalReference r:id="rId24"/>
  </externalReferences>
  <definedNames>
    <definedName name="_xlnm._FilterDatabase" localSheetId="18" hidden="1">VERACRUZ!$A$7:$N$47</definedName>
    <definedName name="_xlnm.Print_Titles" localSheetId="20">GENERAL!$1:$2</definedName>
    <definedName name="_xlnm.Print_Titles" localSheetId="5">JALPA!$1:$7</definedName>
    <definedName name="_xlnm.Print_Titles" localSheetId="12">PICHU!$1:$7</definedName>
    <definedName name="_xlnm.Print_Titles" localSheetId="18">VERACRUZ!$1:$7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3" l="1"/>
  <c r="G31" i="13"/>
  <c r="H31" i="13"/>
  <c r="I31" i="13"/>
  <c r="F31" i="13"/>
  <c r="M29" i="13"/>
  <c r="L29" i="13"/>
  <c r="I29" i="13"/>
  <c r="F29" i="13"/>
  <c r="J29" i="13" s="1"/>
  <c r="M10" i="10"/>
  <c r="M9" i="10"/>
  <c r="G29" i="13" l="1"/>
  <c r="F16" i="13"/>
  <c r="G16" i="13" s="1"/>
  <c r="F11" i="13"/>
  <c r="H11" i="13" s="1"/>
  <c r="J11" i="13" s="1"/>
  <c r="J16" i="13" l="1"/>
  <c r="G11" i="13"/>
  <c r="N14" i="30"/>
  <c r="J41" i="30"/>
  <c r="I41" i="30"/>
  <c r="H41" i="30"/>
  <c r="N41" i="30" s="1"/>
  <c r="H4" i="30" s="1"/>
  <c r="N22" i="30"/>
  <c r="J11" i="2"/>
  <c r="I11" i="2"/>
  <c r="J47" i="30"/>
  <c r="H12" i="17"/>
  <c r="H15" i="11"/>
  <c r="G4" i="5"/>
  <c r="G47" i="30"/>
  <c r="G4" i="2"/>
  <c r="J10" i="2"/>
  <c r="M5" i="30" l="1"/>
  <c r="F15" i="4" l="1"/>
  <c r="I4" i="2"/>
  <c r="G14" i="6" l="1"/>
  <c r="F14" i="6"/>
  <c r="I14" i="6" l="1"/>
  <c r="G16" i="4"/>
  <c r="J10" i="15"/>
  <c r="G12" i="17"/>
  <c r="I11" i="17"/>
  <c r="J11" i="17" s="1"/>
  <c r="I15" i="4" l="1"/>
  <c r="C21" i="18"/>
  <c r="G4" i="11"/>
  <c r="L4" i="11" s="1"/>
  <c r="F7" i="18"/>
  <c r="I10" i="31"/>
  <c r="H10" i="31"/>
  <c r="G4" i="31" s="1"/>
  <c r="G10" i="31"/>
  <c r="F10" i="31"/>
  <c r="L5" i="31"/>
  <c r="M1" i="31"/>
  <c r="G10" i="1"/>
  <c r="I9" i="1"/>
  <c r="H9" i="22"/>
  <c r="G9" i="22"/>
  <c r="L5" i="11"/>
  <c r="L5" i="4"/>
  <c r="I13" i="6"/>
  <c r="G13" i="6"/>
  <c r="G15" i="6" s="1"/>
  <c r="F13" i="6"/>
  <c r="F12" i="11"/>
  <c r="F8" i="11"/>
  <c r="F10" i="17"/>
  <c r="F9" i="17"/>
  <c r="M9" i="17"/>
  <c r="G4" i="17" s="1"/>
  <c r="L5" i="15"/>
  <c r="A11" i="15"/>
  <c r="H11" i="15"/>
  <c r="G11" i="15"/>
  <c r="F11" i="15"/>
  <c r="A11" i="13"/>
  <c r="A13" i="13"/>
  <c r="A15" i="13"/>
  <c r="A17" i="13"/>
  <c r="A19" i="13"/>
  <c r="A21" i="13"/>
  <c r="A23" i="13"/>
  <c r="A25" i="13"/>
  <c r="A27" i="13"/>
  <c r="A9" i="13"/>
  <c r="H12" i="5"/>
  <c r="H12" i="3"/>
  <c r="J12" i="3" s="1"/>
  <c r="G12" i="3"/>
  <c r="F11" i="5"/>
  <c r="J11" i="5" s="1"/>
  <c r="G11" i="5"/>
  <c r="G12" i="5" s="1"/>
  <c r="F9" i="15"/>
  <c r="H9" i="15"/>
  <c r="I9" i="15" s="1"/>
  <c r="G9" i="15"/>
  <c r="I10" i="15"/>
  <c r="I47" i="30"/>
  <c r="E4" i="30"/>
  <c r="B21" i="18" s="1"/>
  <c r="K46" i="30"/>
  <c r="K45" i="30"/>
  <c r="K44" i="30"/>
  <c r="K43" i="30"/>
  <c r="K42" i="30"/>
  <c r="K41" i="30"/>
  <c r="K39" i="30"/>
  <c r="K38" i="30"/>
  <c r="K37" i="30"/>
  <c r="K35" i="30"/>
  <c r="K34" i="30"/>
  <c r="K33" i="30"/>
  <c r="K32" i="30"/>
  <c r="K31" i="30"/>
  <c r="K29" i="30"/>
  <c r="K28" i="30"/>
  <c r="H26" i="30"/>
  <c r="H47" i="30" s="1"/>
  <c r="K25" i="30"/>
  <c r="K22" i="30"/>
  <c r="K20" i="30"/>
  <c r="K17" i="30"/>
  <c r="K16" i="30"/>
  <c r="K14" i="30"/>
  <c r="K13" i="30"/>
  <c r="K12" i="30"/>
  <c r="K11" i="30"/>
  <c r="K9" i="30"/>
  <c r="N1" i="30"/>
  <c r="G12" i="15" l="1"/>
  <c r="I11" i="15"/>
  <c r="H12" i="15"/>
  <c r="I49" i="30"/>
  <c r="F21" i="18"/>
  <c r="H21" i="18" s="1"/>
  <c r="K47" i="30"/>
  <c r="J11" i="15"/>
  <c r="I4" i="31"/>
  <c r="J9" i="15"/>
  <c r="M4" i="30"/>
  <c r="J4" i="30"/>
  <c r="K26" i="30"/>
  <c r="I28" i="13" l="1"/>
  <c r="F28" i="13"/>
  <c r="J28" i="13" s="1"/>
  <c r="I26" i="10"/>
  <c r="I25" i="10"/>
  <c r="I11" i="5"/>
  <c r="F14" i="11"/>
  <c r="J25" i="10"/>
  <c r="J26" i="10"/>
  <c r="I12" i="11" l="1"/>
  <c r="F13" i="4"/>
  <c r="I13" i="11"/>
  <c r="L5" i="12"/>
  <c r="F13" i="12"/>
  <c r="L5" i="10" l="1"/>
  <c r="G15" i="12" l="1"/>
  <c r="H15" i="12"/>
  <c r="F12" i="6"/>
  <c r="I12" i="6"/>
  <c r="B6" i="18" l="1"/>
  <c r="G9" i="29"/>
  <c r="H9" i="29"/>
  <c r="F9" i="29"/>
  <c r="L5" i="29"/>
  <c r="M1" i="29"/>
  <c r="G4" i="29" l="1"/>
  <c r="C6" i="18" s="1"/>
  <c r="E6" i="18" s="1"/>
  <c r="I9" i="29"/>
  <c r="I27" i="13"/>
  <c r="F3" i="18"/>
  <c r="F8" i="18"/>
  <c r="F19" i="18"/>
  <c r="F22" i="18"/>
  <c r="D6" i="18" l="1"/>
  <c r="L4" i="29"/>
  <c r="I4" i="29"/>
  <c r="F27" i="13"/>
  <c r="J27" i="13" s="1"/>
  <c r="L5" i="17" l="1"/>
  <c r="I11" i="13"/>
  <c r="I11" i="12" l="1"/>
  <c r="L5" i="9" l="1"/>
  <c r="H10" i="8"/>
  <c r="G10" i="8"/>
  <c r="G13" i="8" s="1"/>
  <c r="G4" i="8" l="1"/>
  <c r="H13" i="8"/>
  <c r="H19" i="13"/>
  <c r="Q14" i="4"/>
  <c r="R14" i="4" s="1"/>
  <c r="Q13" i="4"/>
  <c r="O13" i="4"/>
  <c r="Q10" i="4"/>
  <c r="R10" i="4" s="1"/>
  <c r="F8" i="22"/>
  <c r="F9" i="22" s="1"/>
  <c r="H11" i="22" s="1"/>
  <c r="L5" i="8"/>
  <c r="L5" i="5"/>
  <c r="L4" i="5"/>
  <c r="L5" i="3"/>
  <c r="F9" i="2"/>
  <c r="J9" i="2" s="1"/>
  <c r="R13" i="4" l="1"/>
  <c r="I4" i="8"/>
  <c r="F13" i="18" s="1"/>
  <c r="J19" i="13"/>
  <c r="I19" i="13"/>
  <c r="L4" i="8"/>
  <c r="I10" i="17"/>
  <c r="J10" i="17" s="1"/>
  <c r="I19" i="8" l="1"/>
  <c r="L5" i="6"/>
  <c r="I10" i="5"/>
  <c r="I12" i="4"/>
  <c r="F12" i="4"/>
  <c r="O12" i="4" s="1"/>
  <c r="I11" i="4"/>
  <c r="F11" i="4"/>
  <c r="I13" i="4"/>
  <c r="I14" i="4"/>
  <c r="J14" i="4" s="1"/>
  <c r="F14" i="4"/>
  <c r="I13" i="3"/>
  <c r="J13" i="3" l="1"/>
  <c r="I12" i="3"/>
  <c r="J12" i="4"/>
  <c r="J13" i="4"/>
  <c r="J11" i="4"/>
  <c r="F16" i="9"/>
  <c r="F10" i="5"/>
  <c r="J10" i="5" s="1"/>
  <c r="F9" i="4"/>
  <c r="I10" i="4"/>
  <c r="J10" i="4" s="1"/>
  <c r="H11" i="3"/>
  <c r="G11" i="3"/>
  <c r="G14" i="3" s="1"/>
  <c r="J26" i="13"/>
  <c r="J25" i="13"/>
  <c r="I25" i="13"/>
  <c r="I26" i="13"/>
  <c r="J10" i="11"/>
  <c r="I11" i="6"/>
  <c r="F17" i="13"/>
  <c r="I11" i="3" l="1"/>
  <c r="J11" i="3" s="1"/>
  <c r="H14" i="3"/>
  <c r="I20" i="10"/>
  <c r="H19" i="10"/>
  <c r="I19" i="10" s="1"/>
  <c r="J20" i="10"/>
  <c r="I4" i="17" l="1"/>
  <c r="F8" i="15"/>
  <c r="F12" i="15" s="1"/>
  <c r="H14" i="15" s="1"/>
  <c r="J8" i="15" l="1"/>
  <c r="L5" i="2"/>
  <c r="H24" i="10"/>
  <c r="J24" i="10" l="1"/>
  <c r="I24" i="10"/>
  <c r="I8" i="15"/>
  <c r="I12" i="15" s="1"/>
  <c r="F20" i="18" l="1"/>
  <c r="G4" i="15"/>
  <c r="L4" i="15" s="1"/>
  <c r="I12" i="12"/>
  <c r="I10" i="11"/>
  <c r="J22" i="10"/>
  <c r="J10" i="12"/>
  <c r="F11" i="6"/>
  <c r="O11" i="6" s="1"/>
  <c r="Q11" i="6" s="1"/>
  <c r="E4" i="22"/>
  <c r="G4" i="22"/>
  <c r="L5" i="22"/>
  <c r="J8" i="22"/>
  <c r="I8" i="22"/>
  <c r="I9" i="22" s="1"/>
  <c r="I17" i="10"/>
  <c r="H23" i="13"/>
  <c r="J23" i="13" s="1"/>
  <c r="J24" i="13"/>
  <c r="H21" i="13"/>
  <c r="I21" i="13" s="1"/>
  <c r="F15" i="9"/>
  <c r="F9" i="5"/>
  <c r="J9" i="5" s="1"/>
  <c r="J8" i="2"/>
  <c r="G20" i="18" l="1"/>
  <c r="H20" i="18"/>
  <c r="D5" i="18"/>
  <c r="B5" i="18"/>
  <c r="C5" i="18"/>
  <c r="J21" i="13"/>
  <c r="G21" i="13"/>
  <c r="G19" i="13"/>
  <c r="I24" i="13"/>
  <c r="E5" i="18" l="1"/>
  <c r="A10" i="12"/>
  <c r="A11" i="12" s="1"/>
  <c r="A12" i="12" s="1"/>
  <c r="A13" i="12" s="1"/>
  <c r="J12" i="12" l="1"/>
  <c r="J23" i="10"/>
  <c r="I23" i="10"/>
  <c r="I22" i="10"/>
  <c r="I14" i="10"/>
  <c r="F18" i="13" l="1"/>
  <c r="J18" i="13" s="1"/>
  <c r="I18" i="13"/>
  <c r="I4" i="22"/>
  <c r="M1" i="22"/>
  <c r="H22" i="13"/>
  <c r="J22" i="13" s="1"/>
  <c r="I9" i="2"/>
  <c r="F5" i="18" l="1"/>
  <c r="G5" i="18"/>
  <c r="I22" i="13"/>
  <c r="F11" i="12"/>
  <c r="J11" i="12" s="1"/>
  <c r="J9" i="12"/>
  <c r="I9" i="12"/>
  <c r="G4" i="12" s="1"/>
  <c r="F8" i="12"/>
  <c r="F15" i="12" s="1"/>
  <c r="H17" i="12" s="1"/>
  <c r="M1" i="12"/>
  <c r="H21" i="10"/>
  <c r="J21" i="10" s="1"/>
  <c r="J18" i="10"/>
  <c r="I18" i="10"/>
  <c r="J16" i="10"/>
  <c r="I16" i="10"/>
  <c r="J15" i="10"/>
  <c r="I15" i="10"/>
  <c r="G15" i="10"/>
  <c r="G29" i="10" s="1"/>
  <c r="J14" i="10"/>
  <c r="H13" i="10"/>
  <c r="H29" i="10" s="1"/>
  <c r="J12" i="10"/>
  <c r="I12" i="10"/>
  <c r="I11" i="10"/>
  <c r="F11" i="10"/>
  <c r="J11" i="10" s="1"/>
  <c r="I10" i="10"/>
  <c r="F10" i="10"/>
  <c r="J10" i="10" s="1"/>
  <c r="I9" i="10"/>
  <c r="F9" i="10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J8" i="10"/>
  <c r="I8" i="10"/>
  <c r="M1" i="10"/>
  <c r="F11" i="9"/>
  <c r="F10" i="3"/>
  <c r="F8" i="3"/>
  <c r="F14" i="3" s="1"/>
  <c r="H16" i="3" s="1"/>
  <c r="F9" i="3"/>
  <c r="F14" i="13"/>
  <c r="F13" i="13"/>
  <c r="F12" i="13"/>
  <c r="F10" i="13"/>
  <c r="F8" i="13"/>
  <c r="M8" i="13" s="1"/>
  <c r="L5" i="13" s="1"/>
  <c r="F9" i="13"/>
  <c r="H9" i="13" s="1"/>
  <c r="F15" i="13"/>
  <c r="I8" i="13"/>
  <c r="F29" i="10" l="1"/>
  <c r="H31" i="10" s="1"/>
  <c r="H5" i="18"/>
  <c r="I15" i="12"/>
  <c r="I4" i="12" s="1"/>
  <c r="J19" i="10"/>
  <c r="I23" i="13"/>
  <c r="J8" i="12"/>
  <c r="J17" i="10"/>
  <c r="J9" i="10"/>
  <c r="I21" i="10"/>
  <c r="I13" i="10"/>
  <c r="J13" i="10"/>
  <c r="I29" i="10" l="1"/>
  <c r="I4" i="10" s="1"/>
  <c r="F15" i="18" s="1"/>
  <c r="H15" i="18" s="1"/>
  <c r="G4" i="10"/>
  <c r="L4" i="10" s="1"/>
  <c r="L4" i="12"/>
  <c r="G17" i="18"/>
  <c r="H17" i="18" s="1"/>
  <c r="F17" i="18"/>
  <c r="J9" i="17"/>
  <c r="A9" i="9" l="1"/>
  <c r="A10" i="9" s="1"/>
  <c r="A11" i="9" s="1"/>
  <c r="A12" i="9" s="1"/>
  <c r="A13" i="9" s="1"/>
  <c r="A14" i="9" s="1"/>
  <c r="A15" i="9" s="1"/>
  <c r="A16" i="9" s="1"/>
  <c r="A17" i="9" s="1"/>
  <c r="C15" i="9"/>
  <c r="F14" i="9"/>
  <c r="F13" i="9"/>
  <c r="J14" i="9"/>
  <c r="G13" i="9" l="1"/>
  <c r="H13" i="9" s="1"/>
  <c r="G15" i="9"/>
  <c r="G16" i="9"/>
  <c r="H16" i="9" s="1"/>
  <c r="H15" i="9" l="1"/>
  <c r="G4" i="9" s="1"/>
  <c r="G18" i="9"/>
  <c r="J15" i="9"/>
  <c r="I16" i="9"/>
  <c r="J16" i="9"/>
  <c r="I15" i="9" l="1"/>
  <c r="G14" i="18"/>
  <c r="H18" i="9"/>
  <c r="F10" i="8"/>
  <c r="F13" i="8" s="1"/>
  <c r="H15" i="8" s="1"/>
  <c r="I4" i="9" l="1"/>
  <c r="J10" i="8"/>
  <c r="J9" i="8"/>
  <c r="J8" i="8"/>
  <c r="I10" i="8" l="1"/>
  <c r="J10" i="3" l="1"/>
  <c r="J9" i="3"/>
  <c r="J8" i="3"/>
  <c r="J8" i="13" l="1"/>
  <c r="I9" i="17"/>
  <c r="I4" i="5"/>
  <c r="L5" i="1"/>
  <c r="E21" i="18" l="1"/>
  <c r="J17" i="13"/>
  <c r="F20" i="13" l="1"/>
  <c r="I16" i="13"/>
  <c r="I15" i="13"/>
  <c r="J15" i="13"/>
  <c r="J14" i="13"/>
  <c r="I14" i="13"/>
  <c r="J13" i="13"/>
  <c r="I13" i="13"/>
  <c r="J12" i="13"/>
  <c r="I12" i="13"/>
  <c r="J10" i="13"/>
  <c r="I10" i="13"/>
  <c r="J9" i="13"/>
  <c r="I9" i="13"/>
  <c r="G20" i="13" l="1"/>
  <c r="I4" i="15"/>
  <c r="H20" i="13" l="1"/>
  <c r="H33" i="13" l="1"/>
  <c r="G4" i="13"/>
  <c r="I20" i="13"/>
  <c r="J20" i="13"/>
  <c r="I9" i="11"/>
  <c r="G18" i="18" l="1"/>
  <c r="I4" i="13"/>
  <c r="F18" i="18"/>
  <c r="L4" i="13"/>
  <c r="F9" i="11"/>
  <c r="J9" i="11" l="1"/>
  <c r="F15" i="11"/>
  <c r="H17" i="11" s="1"/>
  <c r="H18" i="18"/>
  <c r="F8" i="1"/>
  <c r="F10" i="1" s="1"/>
  <c r="H8" i="1"/>
  <c r="J8" i="1" l="1"/>
  <c r="G4" i="1"/>
  <c r="H10" i="1"/>
  <c r="H12" i="1" s="1"/>
  <c r="F8" i="17"/>
  <c r="F12" i="17" s="1"/>
  <c r="H14" i="17" s="1"/>
  <c r="J11" i="9"/>
  <c r="F17" i="9"/>
  <c r="J17" i="9" s="1"/>
  <c r="J13" i="9"/>
  <c r="F12" i="9"/>
  <c r="J12" i="9" s="1"/>
  <c r="F10" i="9"/>
  <c r="J10" i="9" s="1"/>
  <c r="F9" i="9"/>
  <c r="J9" i="9" s="1"/>
  <c r="F8" i="9"/>
  <c r="F8" i="7"/>
  <c r="J8" i="7" s="1"/>
  <c r="H10" i="6"/>
  <c r="F10" i="6"/>
  <c r="F9" i="6"/>
  <c r="J9" i="6" s="1"/>
  <c r="F8" i="6"/>
  <c r="F15" i="6" s="1"/>
  <c r="F8" i="5"/>
  <c r="F12" i="5" s="1"/>
  <c r="H14" i="5" s="1"/>
  <c r="J9" i="4"/>
  <c r="F8" i="4"/>
  <c r="F16" i="4" s="1"/>
  <c r="F8" i="2"/>
  <c r="H13" i="2" s="1"/>
  <c r="B22" i="18"/>
  <c r="B20" i="18"/>
  <c r="B19" i="18"/>
  <c r="B18" i="18"/>
  <c r="B17" i="18"/>
  <c r="B16" i="18"/>
  <c r="B15" i="18"/>
  <c r="B14" i="18"/>
  <c r="B13" i="18"/>
  <c r="C12" i="18"/>
  <c r="B12" i="18"/>
  <c r="B11" i="18"/>
  <c r="B10" i="18"/>
  <c r="B9" i="18"/>
  <c r="B8" i="18"/>
  <c r="B4" i="18"/>
  <c r="B3" i="18"/>
  <c r="I8" i="17"/>
  <c r="I12" i="17" s="1"/>
  <c r="M1" i="17"/>
  <c r="M1" i="15"/>
  <c r="I9" i="14"/>
  <c r="H9" i="14"/>
  <c r="G4" i="14" s="1"/>
  <c r="G9" i="14"/>
  <c r="F9" i="14"/>
  <c r="L5" i="14"/>
  <c r="M1" i="14"/>
  <c r="C18" i="18"/>
  <c r="M1" i="13"/>
  <c r="I8" i="11"/>
  <c r="I15" i="11" s="1"/>
  <c r="G8" i="11"/>
  <c r="G15" i="11" s="1"/>
  <c r="M1" i="11"/>
  <c r="I17" i="9"/>
  <c r="I14" i="9"/>
  <c r="I13" i="9"/>
  <c r="I12" i="9"/>
  <c r="I11" i="9"/>
  <c r="I10" i="9"/>
  <c r="I9" i="9"/>
  <c r="I8" i="9"/>
  <c r="M1" i="9"/>
  <c r="I9" i="8"/>
  <c r="I8" i="8"/>
  <c r="I13" i="8" s="1"/>
  <c r="M1" i="8"/>
  <c r="H9" i="7"/>
  <c r="G9" i="7"/>
  <c r="I8" i="7"/>
  <c r="I9" i="7" s="1"/>
  <c r="L5" i="7"/>
  <c r="M1" i="7"/>
  <c r="I9" i="6"/>
  <c r="I8" i="6"/>
  <c r="M1" i="6"/>
  <c r="I9" i="5"/>
  <c r="I8" i="5"/>
  <c r="I12" i="5" s="1"/>
  <c r="C10" i="18"/>
  <c r="M1" i="5"/>
  <c r="I9" i="4"/>
  <c r="H8" i="4"/>
  <c r="M1" i="4"/>
  <c r="I9" i="3"/>
  <c r="I8" i="3"/>
  <c r="M1" i="3"/>
  <c r="I8" i="2"/>
  <c r="M1" i="2"/>
  <c r="I8" i="1"/>
  <c r="I10" i="1" s="1"/>
  <c r="M1" i="1"/>
  <c r="F18" i="9" l="1"/>
  <c r="H20" i="9" s="1"/>
  <c r="G4" i="6"/>
  <c r="G11" i="18" s="1"/>
  <c r="H15" i="6"/>
  <c r="I4" i="7"/>
  <c r="H11" i="7"/>
  <c r="G4" i="4"/>
  <c r="H16" i="4"/>
  <c r="H18" i="4"/>
  <c r="G4" i="3"/>
  <c r="C8" i="18" s="1"/>
  <c r="E8" i="18" s="1"/>
  <c r="I14" i="3"/>
  <c r="B23" i="18"/>
  <c r="L4" i="3"/>
  <c r="I4" i="3"/>
  <c r="E10" i="18"/>
  <c r="G12" i="18"/>
  <c r="F12" i="18"/>
  <c r="E18" i="18"/>
  <c r="I18" i="9"/>
  <c r="J8" i="9"/>
  <c r="F9" i="7"/>
  <c r="I10" i="6"/>
  <c r="I15" i="6" s="1"/>
  <c r="J8" i="6"/>
  <c r="J8" i="17"/>
  <c r="J10" i="6"/>
  <c r="J8" i="5"/>
  <c r="J8" i="11"/>
  <c r="I8" i="4"/>
  <c r="I16" i="4" s="1"/>
  <c r="J8" i="4"/>
  <c r="C17" i="18"/>
  <c r="E17" i="18" s="1"/>
  <c r="D10" i="18"/>
  <c r="L4" i="17"/>
  <c r="C22" i="18"/>
  <c r="E22" i="18" s="1"/>
  <c r="C19" i="18"/>
  <c r="E19" i="18" s="1"/>
  <c r="L4" i="14"/>
  <c r="I4" i="14"/>
  <c r="C20" i="18"/>
  <c r="E20" i="18" s="1"/>
  <c r="H17" i="6" l="1"/>
  <c r="I4" i="6"/>
  <c r="F11" i="18" s="1"/>
  <c r="G9" i="18"/>
  <c r="L4" i="4"/>
  <c r="I4" i="4"/>
  <c r="F9" i="18"/>
  <c r="H9" i="18" s="1"/>
  <c r="L4" i="6"/>
  <c r="H12" i="18"/>
  <c r="L4" i="1"/>
  <c r="F14" i="18"/>
  <c r="H14" i="18" s="1"/>
  <c r="C11" i="18"/>
  <c r="C16" i="18"/>
  <c r="C15" i="18"/>
  <c r="E15" i="18" s="1"/>
  <c r="D8" i="18"/>
  <c r="C9" i="18"/>
  <c r="E9" i="18" s="1"/>
  <c r="D21" i="18"/>
  <c r="C3" i="18"/>
  <c r="I4" i="1"/>
  <c r="D19" i="18"/>
  <c r="D22" i="18"/>
  <c r="E11" i="18" l="1"/>
  <c r="E3" i="18"/>
  <c r="D16" i="18"/>
  <c r="E16" i="18"/>
  <c r="H11" i="18"/>
  <c r="G13" i="18"/>
  <c r="H13" i="18" s="1"/>
  <c r="D15" i="18"/>
  <c r="C13" i="18"/>
  <c r="E13" i="18" s="1"/>
  <c r="D3" i="18"/>
  <c r="G23" i="18" l="1"/>
  <c r="F16" i="18"/>
  <c r="I4" i="11"/>
  <c r="H16" i="18" l="1"/>
  <c r="F4" i="18" l="1"/>
  <c r="I10" i="2"/>
  <c r="L4" i="2"/>
  <c r="C4" i="18" l="1"/>
  <c r="H4" i="18"/>
  <c r="F23" i="18"/>
  <c r="H23" i="18" s="1"/>
  <c r="C23" i="18" l="1"/>
  <c r="E23" i="18" s="1"/>
  <c r="D4" i="18"/>
  <c r="D23" i="18" s="1"/>
  <c r="E4" i="18"/>
</calcChain>
</file>

<file path=xl/sharedStrings.xml><?xml version="1.0" encoding="utf-8"?>
<sst xmlns="http://schemas.openxmlformats.org/spreadsheetml/2006/main" count="1110" uniqueCount="407">
  <si>
    <t>SOCIOS</t>
  </si>
  <si>
    <t>-</t>
  </si>
  <si>
    <t xml:space="preserve">APORTACIÓN </t>
  </si>
  <si>
    <t>RECUPERADO</t>
  </si>
  <si>
    <t>PENDIENTE</t>
  </si>
  <si>
    <t>RECUPERADO APORTACIÓN%</t>
  </si>
  <si>
    <t>COBRADO PROYECTOS%</t>
  </si>
  <si>
    <t xml:space="preserve">No. </t>
  </si>
  <si>
    <t>NOMBRE DEL PROYECTO</t>
  </si>
  <si>
    <t>ESTATUS</t>
  </si>
  <si>
    <t>OBSERVACIONES</t>
  </si>
  <si>
    <t>POR COBRAR</t>
  </si>
  <si>
    <t>INVERSIÓN</t>
  </si>
  <si>
    <t>UTILIDAD TOTAL</t>
  </si>
  <si>
    <t>UTILIDAD JEFE</t>
  </si>
  <si>
    <t>ÁREA ENCARGADA</t>
  </si>
  <si>
    <t>AVANCE FINANCIERO</t>
  </si>
  <si>
    <t>Despensas</t>
  </si>
  <si>
    <t>Terminado y pagado</t>
  </si>
  <si>
    <t>Recursos Materiales</t>
  </si>
  <si>
    <t>TOTALES</t>
  </si>
  <si>
    <t>PORCENTAJE DE UTILIDAD DE LOS PROYECTOS</t>
  </si>
  <si>
    <t>Obras</t>
  </si>
  <si>
    <t>Colocación de 156 Luminarias</t>
  </si>
  <si>
    <t>Material de Cómputo y de Jardinería</t>
  </si>
  <si>
    <t>Trajes para abejas</t>
  </si>
  <si>
    <t>Luminarias de OXXO a Vialidad principal</t>
  </si>
  <si>
    <t>Jonuta motosierras</t>
  </si>
  <si>
    <t>Ya se tiene el recurso y ya se metió la factura, solo en espera de cobro</t>
  </si>
  <si>
    <t>Rehabilitación de Cubiertas de lámina en viviendas</t>
  </si>
  <si>
    <t>UTILIDAD</t>
  </si>
  <si>
    <t>Pavimentación</t>
  </si>
  <si>
    <t>Repavimentación de calle juan pablo 2do. (pavimento flexible)</t>
  </si>
  <si>
    <t>Nacajuca luminarias</t>
  </si>
  <si>
    <t>5,000 despensas</t>
  </si>
  <si>
    <t>1,000 despensas</t>
  </si>
  <si>
    <t>71,000 despensas</t>
  </si>
  <si>
    <t>Obra de San Fernando</t>
  </si>
  <si>
    <t>Vialidad A</t>
  </si>
  <si>
    <t>Polideportivo</t>
  </si>
  <si>
    <t>Estadio de beisbol, Maximiliano Dorantes</t>
  </si>
  <si>
    <t>Ruta 1</t>
  </si>
  <si>
    <t>La Feria Paraiso</t>
  </si>
  <si>
    <t>Tableros Eléctricos de la Feria</t>
  </si>
  <si>
    <t>Feria</t>
  </si>
  <si>
    <t>Proyectos</t>
  </si>
  <si>
    <t>2 Pipas de Agua en arrendamiento</t>
  </si>
  <si>
    <t>5 Camionetas en arrendamiento</t>
  </si>
  <si>
    <t>Bomba de Agua</t>
  </si>
  <si>
    <t>Regalos día de las madres</t>
  </si>
  <si>
    <t>Pavimentación de la calle las torres en Pichucalco, Chiapas.</t>
  </si>
  <si>
    <t>Luminarias</t>
  </si>
  <si>
    <t>Láminas</t>
  </si>
  <si>
    <t>Pavimentación de la calle Prolongación Contreras, Pichucalco Chiapas</t>
  </si>
  <si>
    <t>Rehabilitación de guarniciones, banquetas, paso peatonal y luminaria en parque central de Pichucalco, Chiapas.</t>
  </si>
  <si>
    <t>Parques y deportivos: In Hause, Nueva Esperanza, Poliforum, Forjadores, Luis Donaldo Colosio, Puerto aventura, Mario Villanueva, Leona Vicario, Grullas, 90 y Riviera Maya</t>
  </si>
  <si>
    <t>Obras/Tesorería</t>
  </si>
  <si>
    <t>Rehabilitación y mantenimiento de 15 Parques en playa del Carmen.</t>
  </si>
  <si>
    <t>Uniformes</t>
  </si>
  <si>
    <t>Arrendamiento de Camiones de Basura</t>
  </si>
  <si>
    <t>Venta de pintura</t>
  </si>
  <si>
    <t>Venta de Radios</t>
  </si>
  <si>
    <t>Emulsión catatónica</t>
  </si>
  <si>
    <t>Venta de llantas</t>
  </si>
  <si>
    <t xml:space="preserve">Luminarias </t>
  </si>
  <si>
    <t>Tulum luminarias</t>
  </si>
  <si>
    <t>6,000 Luminarias</t>
  </si>
  <si>
    <t xml:space="preserve"> Alimentos A CENDIS</t>
  </si>
  <si>
    <t>Zitácuaro Luminarias</t>
  </si>
  <si>
    <t>RESUMEN GENERAL</t>
  </si>
  <si>
    <t>MUNICIPIO</t>
  </si>
  <si>
    <t>APORTACIÓN</t>
  </si>
  <si>
    <t>PENDIENTE DE RECUPERAR</t>
  </si>
  <si>
    <t>UTILIDAD ESPERADA</t>
  </si>
  <si>
    <t>BALANCÁN</t>
  </si>
  <si>
    <t>CENTLA</t>
  </si>
  <si>
    <t>JALAPA</t>
  </si>
  <si>
    <t>JALPA DE MENDEZ</t>
  </si>
  <si>
    <t>JONUTA</t>
  </si>
  <si>
    <t>MÉRIDA</t>
  </si>
  <si>
    <t>NACAJUCA</t>
  </si>
  <si>
    <t>NAUCALPAN</t>
  </si>
  <si>
    <t>PARAISO</t>
  </si>
  <si>
    <t>PICHUCALCO</t>
  </si>
  <si>
    <t>PLAYA DEL CARMEN</t>
  </si>
  <si>
    <t>TUXTLA</t>
  </si>
  <si>
    <t>TEAPA</t>
  </si>
  <si>
    <t>TULUM</t>
  </si>
  <si>
    <t>XOCHIMILCO</t>
  </si>
  <si>
    <t>VERACRUZ</t>
  </si>
  <si>
    <t>ZITACUARO</t>
  </si>
  <si>
    <t>TOTAL</t>
  </si>
  <si>
    <t xml:space="preserve">% </t>
  </si>
  <si>
    <t>AVANCE FÍSICO</t>
  </si>
  <si>
    <t>Terminado</t>
  </si>
  <si>
    <t xml:space="preserve">Terminado </t>
  </si>
  <si>
    <t>Pavimentación en la Calle C. Colorado (Administración)</t>
  </si>
  <si>
    <t>Drenaje y pavimentación de Calle Melchor Ocampo (Administración)</t>
  </si>
  <si>
    <t>En regularización</t>
  </si>
  <si>
    <t>ACCIONES</t>
  </si>
  <si>
    <t>Obra</t>
  </si>
  <si>
    <t xml:space="preserve"> 2000 Despensas</t>
  </si>
  <si>
    <t>Uniformes personal Mpio.</t>
  </si>
  <si>
    <t>Pagado</t>
  </si>
  <si>
    <t>Construcción de muros de contención, solicitados por Protección Civil del Estado de Chiapas</t>
  </si>
  <si>
    <t>COBRADO</t>
  </si>
  <si>
    <t>No.</t>
  </si>
  <si>
    <t>RUTA</t>
  </si>
  <si>
    <t xml:space="preserve">COMUNIDAD </t>
  </si>
  <si>
    <t xml:space="preserve">MONTO </t>
  </si>
  <si>
    <t>STATUS</t>
  </si>
  <si>
    <t>Ruta 4</t>
  </si>
  <si>
    <t>Nuevo Torno Largo *</t>
  </si>
  <si>
    <t>Contratado</t>
  </si>
  <si>
    <t>Torno Largo</t>
  </si>
  <si>
    <t>Colonia El Bellote (Miguel de la Madrid)</t>
  </si>
  <si>
    <t>Pendiente de pago</t>
  </si>
  <si>
    <t>Ejido Puerto Ceiba (Carrizal)</t>
  </si>
  <si>
    <t>Tableros</t>
  </si>
  <si>
    <t>Villa Puerto Ceiba</t>
  </si>
  <si>
    <t>Ejido Jose Maria Morelos y Pavon (El Bellote)</t>
  </si>
  <si>
    <t>Por cerrar volúmenes</t>
  </si>
  <si>
    <t>Ejido Chiltepec (Sección Banco)</t>
  </si>
  <si>
    <t>Ejido Chiltepec (Sección Tanque)</t>
  </si>
  <si>
    <t>Poblado Chiltepec (Puerto Chiltepec)</t>
  </si>
  <si>
    <t>Colonia Chiltepec (Sección Penjamo)</t>
  </si>
  <si>
    <t>Ejido Aquiles Serdan</t>
  </si>
  <si>
    <t>Rancheria Aguiles Serdan</t>
  </si>
  <si>
    <t>Obra Cancha Tejería</t>
  </si>
  <si>
    <t>Renta de Planta Electrica</t>
  </si>
  <si>
    <t xml:space="preserve">Obras </t>
  </si>
  <si>
    <t>Luminaras Tec de comalcalco</t>
  </si>
  <si>
    <t>Ampliación de la Red de energía eléctrica Chacalapa</t>
  </si>
  <si>
    <t>Repavimentación de calle contrato 168</t>
  </si>
  <si>
    <r>
      <t>Teapa Pavimentación, drenaje, guarniciones y banquetas en brisas del puyacatengo</t>
    </r>
    <r>
      <rPr>
        <b/>
        <sz val="10"/>
        <color theme="1"/>
        <rFont val="Arial"/>
        <family val="2"/>
      </rPr>
      <t xml:space="preserve"> (Obra drenaje)</t>
    </r>
  </si>
  <si>
    <r>
      <t>Teapa Pavimentación, drenaje, guarniciones y banquetas en brisas del puyacatengo</t>
    </r>
    <r>
      <rPr>
        <b/>
        <sz val="10"/>
        <color theme="1"/>
        <rFont val="Arial"/>
        <family val="2"/>
      </rPr>
      <t xml:space="preserve"> (Obra agua potable)</t>
    </r>
  </si>
  <si>
    <r>
      <t>Teapa Pavimentación, drenaje, guarniciones y banquetas en brisas del puyacatengo</t>
    </r>
    <r>
      <rPr>
        <b/>
        <sz val="10"/>
        <color theme="1"/>
        <rFont val="Arial"/>
        <family val="2"/>
      </rPr>
      <t xml:space="preserve"> (Banquetas y guarniciones)</t>
    </r>
  </si>
  <si>
    <r>
      <t>Teapa Pavimentación, drenaje, guarniciones y banquetas en brisas del puyacatengo</t>
    </r>
    <r>
      <rPr>
        <b/>
        <sz val="10"/>
        <color theme="1"/>
        <rFont val="Arial"/>
        <family val="2"/>
      </rPr>
      <t xml:space="preserve"> (Alumbrado)</t>
    </r>
  </si>
  <si>
    <r>
      <t>Teapa Pavimentación, drenaje, guarniciones y banquetas en brisas del puyacatengo</t>
    </r>
    <r>
      <rPr>
        <b/>
        <sz val="10"/>
        <color theme="1"/>
        <rFont val="Arial"/>
        <family val="2"/>
      </rPr>
      <t xml:space="preserve"> (Pavimento)</t>
    </r>
  </si>
  <si>
    <t>PAGADO</t>
  </si>
  <si>
    <t>Baterias EPCOM</t>
  </si>
  <si>
    <t>10 Ambulancias</t>
  </si>
  <si>
    <t>Sistema de microfonos</t>
  </si>
  <si>
    <t>Entregado, pendiente de pago</t>
  </si>
  <si>
    <t>Proyecto de Implementación de Sistema de Paneles Solares en Ayuntamientos</t>
  </si>
  <si>
    <t>Arrendamiento de  4 unidades pickup</t>
  </si>
  <si>
    <t>Suministro e istalación de Bomba electrica Sumergible de 75 HP</t>
  </si>
  <si>
    <t>Bacheo de diferentes calles del municipio</t>
  </si>
  <si>
    <t>KIT de protección civil</t>
  </si>
  <si>
    <t>Equipamiento de dormitorios del grupo PAKAL</t>
  </si>
  <si>
    <t>Terminada la obra 100% y pagada</t>
  </si>
  <si>
    <r>
      <t xml:space="preserve">Rehabilitacion de Red de Alcantarillado </t>
    </r>
    <r>
      <rPr>
        <b/>
        <sz val="10"/>
        <color theme="1"/>
        <rFont val="Arial"/>
        <family val="2"/>
      </rPr>
      <t>(Pluvial)</t>
    </r>
    <r>
      <rPr>
        <sz val="10"/>
        <color theme="1"/>
        <rFont val="Arial"/>
        <family val="2"/>
      </rPr>
      <t xml:space="preserve">
en el municipio de Teapa, Ciudad de Teapa,
Colonia La Sierra Sección Ríos, Calles Río Tulijá y Rio Puxcatan</t>
    </r>
  </si>
  <si>
    <r>
      <t xml:space="preserve">Rehabilitacion de Red de </t>
    </r>
    <r>
      <rPr>
        <b/>
        <sz val="10"/>
        <color theme="1"/>
        <rFont val="Arial"/>
        <family val="2"/>
      </rPr>
      <t>Drenaje Sanitario</t>
    </r>
    <r>
      <rPr>
        <sz val="10"/>
        <color theme="1"/>
        <rFont val="Arial"/>
        <family val="2"/>
      </rPr>
      <t xml:space="preserve">
en el municipio de Teapa, Ciudad de Teapa,
Colonia La Sierra Sección Ríos, Calles Río Tulijá y Rio Puxcatan.</t>
    </r>
  </si>
  <si>
    <t>I0062.- REHABILITACIÓN DE CAMINO EN TRAMOS ENTRADA LOS CANDELERO Y ENTRADA AL PANTEÓN DE LA RA. SANTUARIO 1RA SECCIÓN</t>
  </si>
  <si>
    <t>I0072.- REHABILITACIÓN DE CAMINO EN VARIOS TRAMOS DE LA RA CHACALAPA SEGUNDA SECCIÓN COL OSORIO</t>
  </si>
  <si>
    <t>I0078.- REHABILITACIÓN DE CAMINO TRAMO LA MANGA DEL EJIDO EL PÚLPITO</t>
  </si>
  <si>
    <t>I0079.- REHABILITACIÓN DE CAMINO EN VARIOS TRAMOS DE LA RA HUAPACAL 2DA SECCIÓN</t>
  </si>
  <si>
    <t>I0086.- REHABILITACIÓN DE CAMINO EN EL EJIDO IQUINUAPA</t>
  </si>
  <si>
    <t>En regularizacióny se va a pagar en el 2026 porque ya no hay presupuesto</t>
  </si>
  <si>
    <t xml:space="preserve">Nvo. Torno Largo, torno largo </t>
  </si>
  <si>
    <t xml:space="preserve">Construcción de Tanque, línea de conducción y almacenaje </t>
  </si>
  <si>
    <t>Construcción de Pozos</t>
  </si>
  <si>
    <t>Mejoramiento de la Deportiva (Parque del Amor)</t>
  </si>
  <si>
    <t>Pagado y Terminado</t>
  </si>
  <si>
    <r>
      <rPr>
        <b/>
        <sz val="10"/>
        <color theme="1"/>
        <rFont val="Arial"/>
        <family val="2"/>
      </rPr>
      <t>(Parques al 100%)</t>
    </r>
    <r>
      <rPr>
        <sz val="10"/>
        <color theme="1"/>
        <rFont val="Arial"/>
        <family val="2"/>
      </rPr>
      <t xml:space="preserve"> Bella Vista, Fenix Forjadores, Mundo habitad, NicteHa, Natura,Zazil ha, Palmas 1, Villa Mar, Villas Riviera, La Guadalupana, Peten, Pto. Aventuras, Lol- Be, Cristo Rey, Riviera Maya.  Se reprogramó el pago en el primer mes de enero 2026</t>
    </r>
  </si>
  <si>
    <t xml:space="preserve">Terminado y pagado </t>
  </si>
  <si>
    <t>COMALCALCO</t>
  </si>
  <si>
    <t>CONTRATO CON IVA</t>
  </si>
  <si>
    <t>ACUMULADO</t>
  </si>
  <si>
    <t>DIFERENCIA</t>
  </si>
  <si>
    <t>Presupuesto Autorizado</t>
  </si>
  <si>
    <t>Estimación 1</t>
  </si>
  <si>
    <t>pendiente 2026</t>
  </si>
  <si>
    <t xml:space="preserve">Pagado </t>
  </si>
  <si>
    <t>Saltabarranca, Veracruz</t>
  </si>
  <si>
    <t>Santiago Tuxtla, Veracruz</t>
  </si>
  <si>
    <t>Catemaco, Veracruz</t>
  </si>
  <si>
    <t>Xico, Veracruz</t>
  </si>
  <si>
    <t>Venta de ambulancia, entregada el 27 de diciembre</t>
  </si>
  <si>
    <t>Chinameca, Veracruz</t>
  </si>
  <si>
    <t>Carlos A. Carrillo, Veracruz</t>
  </si>
  <si>
    <t>Cuitláhuac, Veracruz</t>
  </si>
  <si>
    <t>Ixhuatlán del Sureste, Veracruz</t>
  </si>
  <si>
    <t>Pajapan, Veracruz</t>
  </si>
  <si>
    <t>Poza Rica de Hidalgo, Veracruz</t>
  </si>
  <si>
    <t>Nanchital de Lázaro Cárdenas del Río, Veracruz</t>
  </si>
  <si>
    <t>Soteapan, Veracruz</t>
  </si>
  <si>
    <t>Tatahuicapan, Veracruz</t>
  </si>
  <si>
    <t>Tierra Blanca, Veracruz</t>
  </si>
  <si>
    <t>PROYECTOS POR COBRAR</t>
  </si>
  <si>
    <t>Dirigente de Morena</t>
  </si>
  <si>
    <t>Paso de Ovejas</t>
  </si>
  <si>
    <t>PAGADO (Trabajos terminados y entregados)</t>
  </si>
  <si>
    <r>
      <t xml:space="preserve">Rehabilitacion de </t>
    </r>
    <r>
      <rPr>
        <b/>
        <sz val="10"/>
        <color theme="1"/>
        <rFont val="Arial"/>
        <family val="2"/>
      </rPr>
      <t>Banquetas y Guarniciones</t>
    </r>
    <r>
      <rPr>
        <sz val="10"/>
        <color theme="1"/>
        <rFont val="Arial"/>
        <family val="2"/>
      </rPr>
      <t xml:space="preserve">
en el municipio de Teapa, Ciudad de Teapa,
Colonia La Sierra Sección Ríos, Calles Río Tulijá y Rio Puxcatan.</t>
    </r>
  </si>
  <si>
    <t>UTILIDAD COBRADA</t>
  </si>
  <si>
    <t>SEGUIMOS EN ESPERA DE PODER EMPEZAR LOS PROYECTOS</t>
  </si>
  <si>
    <t>N/A</t>
  </si>
  <si>
    <t>AVANCE RECUPERACIÓN DE LA INVERSIÓN</t>
  </si>
  <si>
    <t>AVANCE DE COBRO DE UTILIDAD</t>
  </si>
  <si>
    <t>SIN UTI</t>
  </si>
  <si>
    <t>YA SE RECUPERÓ LA INVERSIÓN Y SE TIENE UN PEQUEÑA UTILIDAD DE $116,907 PESOS, YA SE ESTA TRABAJANDO EN NUEVOS PROYECTOS PARA EL 2026. YA SE TUVO CONTACTO CON ELLOS, SE TIENE CITA LA PRÓX SEMANA</t>
  </si>
  <si>
    <t>SE OBTUVO UNA UTILIDAD DE 1.09MDP, SE ESPERA QUE EN EL 2026 SE SUMINISTRE AL MUNICIPIO LA CANTIDAD DE 1,000 LUMINARIAS MÁS. YA SE TUVO CONTACTO CON LA ADMINISTRADORA.</t>
  </si>
  <si>
    <t>YA SE RECUPERO LA INVERSIÓN, HAY UNA UTILIDAD DE 7.7MDP. YA SE ESTA TRABAJANDO DE MANERA CONJUNTA CON OBRAS DEL AYUNTAMIENTO ($83MDP) Y DEL TEMA DE DESPENSAS YA SE ESTA TRABAJANDO EL PROYECTO DE LAS BASES, SALE EN EL MES DE JUNIO 2026.</t>
  </si>
  <si>
    <t>ACTUALMENTE SE LLEVA UNA UTILIDAD DE $3.9MDP COBRADA FALTA POR COBRAR LA DIFERENCIA QUE SE PAGARÁ EN MARZO 2026. YA SE TIENEN LAS CIFRAS FINALES PARA EMPEZAR A HACER LOS CONCURSOS.</t>
  </si>
  <si>
    <t>INFORME BALANCAN 2025/2026</t>
  </si>
  <si>
    <t>INFORME ZITACUARO 2025/2026</t>
  </si>
  <si>
    <t>INFORME CENTLA 2025/2026</t>
  </si>
  <si>
    <t>INFORME COMALCALCO 2025/2026</t>
  </si>
  <si>
    <t>INFORME DURANGO 2025/2026</t>
  </si>
  <si>
    <t>INFORME JALPA DE MENDEZ 2025/2026</t>
  </si>
  <si>
    <t>INFORME JALAPA  2025/2026</t>
  </si>
  <si>
    <t>INFORME JONUTA 2025/2026</t>
  </si>
  <si>
    <t>INFORME  DE MÉRIDA 2025/2026</t>
  </si>
  <si>
    <t>INFORME  NACAJUCA 2025/2026</t>
  </si>
  <si>
    <t>INFORME  NAUCALPAN 2025/2026</t>
  </si>
  <si>
    <t>INFORME  PARAISO 2025/2026</t>
  </si>
  <si>
    <t>Se inició propyecto de Iluminación el día 4 de Nov y se concluyó el día lunes 10 de Nov 2025/2026 (El pago está programado para 2026)</t>
  </si>
  <si>
    <t>INFORME  PICHUCALCO 2025/2026</t>
  </si>
  <si>
    <t>INFORME PLAYA 2025/2026</t>
  </si>
  <si>
    <t>INFORME TUXTLA 2025/2026</t>
  </si>
  <si>
    <t>INFORME TEAPA 2025/2026</t>
  </si>
  <si>
    <t>INFORME TULUM 2025/2026</t>
  </si>
  <si>
    <t>INFORME XOCHI 2025/2026</t>
  </si>
  <si>
    <t>INFORME VERACRUZ  2025/2026</t>
  </si>
  <si>
    <t>DURANGO</t>
  </si>
  <si>
    <t>Iluminación Mpio. Rodeo</t>
  </si>
  <si>
    <t>Repavimentación de calle contrato 267</t>
  </si>
  <si>
    <t>RM/Proyectos</t>
  </si>
  <si>
    <t>AÑO</t>
  </si>
  <si>
    <t>RESPONSABLE</t>
  </si>
  <si>
    <t>D. OBRAS</t>
  </si>
  <si>
    <t>D. RM</t>
  </si>
  <si>
    <t>D. PROYECTOS</t>
  </si>
  <si>
    <t>D. OBRAS/D. PROYECTOS</t>
  </si>
  <si>
    <t>D. OBRAS/D. RM</t>
  </si>
  <si>
    <t>D. RM/D. PROYECTOS</t>
  </si>
  <si>
    <t>Esta pendiente</t>
  </si>
  <si>
    <t>Restroexcavadora</t>
  </si>
  <si>
    <t>Rodillo</t>
  </si>
  <si>
    <t>Se entrego la ambulancia</t>
  </si>
  <si>
    <t xml:space="preserve"> Se les dio $825,000 adicional para gestionar abogados, etc…</t>
  </si>
  <si>
    <r>
      <t xml:space="preserve">ya se ingresaron facturas, en espera de pagos correspondientes,
los contratos ascienden a </t>
    </r>
    <r>
      <rPr>
        <b/>
        <sz val="10"/>
        <color rgb="FF002060"/>
        <rFont val="Arial"/>
        <family val="2"/>
      </rPr>
      <t>$39,994,841.92</t>
    </r>
    <r>
      <rPr>
        <sz val="10"/>
        <color rgb="FF002060"/>
        <rFont val="Arial"/>
        <family val="2"/>
      </rPr>
      <t xml:space="preserve"> hicieron 4 pagos por el monto de $21,065,101.42</t>
    </r>
  </si>
  <si>
    <t>Pagaron $1,746,255.95 por los proyectos de desazolve, caminos rurales y de los pozos y $192,000. Se abonaron $300,000 de los pozos de agua</t>
  </si>
  <si>
    <t>Se han hecho 15  pagos de 30</t>
  </si>
  <si>
    <t>Recolector de basura Nuevo de 21 yardas</t>
  </si>
  <si>
    <t>Recolector de basura seminuevo de 21 yardas</t>
  </si>
  <si>
    <t>Texistepec, Veracruz</t>
  </si>
  <si>
    <t>Sayula, Veracruz</t>
  </si>
  <si>
    <t>Rehabilitación de Drenaje Sanitario Calle Ponciano Rojas</t>
  </si>
  <si>
    <t>Rehabilitación de Drenaje Sanitario Calle Aquiles Serdan (Tectoapan)</t>
  </si>
  <si>
    <t>Proyecto Eléctrico de Av. 10 en el centro de Playa del Carmen.</t>
  </si>
  <si>
    <t>Iluminación en Centro de Salud</t>
  </si>
  <si>
    <t>Ya se pago el total de las despensas, solo falta entregar 20,000 despensas</t>
  </si>
  <si>
    <t xml:space="preserve">Despensas </t>
  </si>
  <si>
    <t>Ya se analizaron los precios, están en espera de que llegue el presupuesto para iniciar el proceso de licitación</t>
  </si>
  <si>
    <t>Cotaxtla, Veracruz</t>
  </si>
  <si>
    <t>Cosautlán, Veracruz</t>
  </si>
  <si>
    <t>Banderilla, Veracruz</t>
  </si>
  <si>
    <t>Recolector de basura seminuevo de 14 yardas</t>
  </si>
  <si>
    <t>Yecuatla, Veracruz</t>
  </si>
  <si>
    <t>Rafael Lucio, Veracruz</t>
  </si>
  <si>
    <t xml:space="preserve">Terminada y pagada </t>
  </si>
  <si>
    <t>Santiago Tuxtla II, Veracruz</t>
  </si>
  <si>
    <t>Pavimento Hidráulico en el Municipio de Teapa, Ciudad de Teapa, Colonia La Sierra Sección Ríos, Calles Río Tulijá y Río Puxcatan.</t>
  </si>
  <si>
    <t>Pavimentación en Calle Violeta Ojeda</t>
  </si>
  <si>
    <t>Se paga en el mes de Abril</t>
  </si>
  <si>
    <t>Proyecto de Infraestructura eléctrica en Av. 10</t>
  </si>
  <si>
    <t>Se pagan en julio</t>
  </si>
  <si>
    <t>se paga en julio</t>
  </si>
  <si>
    <t>Apenas nos va a hacer un pedido de 500 luminarias</t>
  </si>
  <si>
    <t>Soledad de Doblado</t>
  </si>
  <si>
    <t>Urban 14 `pasajeros</t>
  </si>
  <si>
    <t>Trabajo terminado, falta finiquito</t>
  </si>
  <si>
    <t>Alvarado, Veracruz (pérdido)</t>
  </si>
  <si>
    <t>Se le mostraron las luminarias y se tuvo una junta sobre el tema de Vigilancia, ya se esta preparando la cotización de acuerdo al levantamiento para el 8 o 9 de abril</t>
  </si>
  <si>
    <t>Comapa, Veracruz (se perdió)</t>
  </si>
  <si>
    <t>La primera semana de abril se va a platicar con ellos para ver que se les puede vender</t>
  </si>
  <si>
    <t>Esta ayudando a ver a otros municipios</t>
  </si>
  <si>
    <t>Venta de ambulancia, entregada el 03 de marzo, la entregaron a Soledad de doblado. Se le dieron $100,000 del reporte de las luminarias</t>
  </si>
  <si>
    <t>Se le vendieron 600 luminarias electricas de 12,000 LMN</t>
  </si>
  <si>
    <t>Tampico, Alto</t>
  </si>
  <si>
    <t xml:space="preserve">Venta de ambulancia, se entrega el 7 de abril. </t>
  </si>
  <si>
    <t>Se entregaron 30 solares con brazos y 297 electricas de 6,000 LMS con accesorios para instalación</t>
  </si>
  <si>
    <t>Recolector de basura seminuevo de 14 yardas. Se entregaron $200,000 de su reporte</t>
  </si>
  <si>
    <t>concluido</t>
  </si>
  <si>
    <t>Video Vigilancia Alcaldia</t>
  </si>
  <si>
    <t>Pendiente</t>
  </si>
  <si>
    <t>Estas unidades son las de Teapa, ahorita salió el contrato solo por nov y diciembre.</t>
  </si>
  <si>
    <t>Se pagaron solo 250 luminarias ($456,170), faltan 50, de lo cual no hay fact</t>
  </si>
  <si>
    <r>
      <t xml:space="preserve">Se entregaron 300 luminarias esta semana, se pagará en 2026. </t>
    </r>
    <r>
      <rPr>
        <b/>
        <sz val="10"/>
        <color rgb="FF002060"/>
        <rFont val="Arial"/>
        <family val="2"/>
      </rPr>
      <t>($547,404.00 con IVA)</t>
    </r>
    <r>
      <rPr>
        <sz val="10"/>
        <color rgb="FF002060"/>
        <rFont val="Arial"/>
        <family val="2"/>
      </rPr>
      <t>. Sigue pendiente la facturación de estas luminarias</t>
    </r>
  </si>
  <si>
    <t>YA SE ASIGNO LA PRIMERA OBRA DEL 2026, CON LA CUAL SE RECUPERA EL 100 DE LA INVERSIÓN Y SE TENDRA UNA UTILIDAD DE APROX $778,740 PESOS. NOS DARÁN MAS OBRAS PARA ESTE 2026</t>
  </si>
  <si>
    <t>ESTA PENDIENTE LAS JUNTAS CON RODEO QUE EN JUNIO CONTACTEMOS A LA GENTE</t>
  </si>
  <si>
    <t>Ya se terminaron los trabajos y se metio la factura del finiquito y estimación.</t>
  </si>
  <si>
    <t>YA SE TIENE UNA OBRA NUEVA OBRA, PERO SE NECESITA OTRA OBRA AL MENOS DE $3MDP PARA RECUPERAR Y TENER UTILIDAD</t>
  </si>
  <si>
    <t xml:space="preserve">YA SE NOS ASIGNO LA PRIMERA OBRA PARA EL 2026, SIN EMBARGO SE REQUIERE OBTENER PROYECTOS POR MÍNIMO $5MDP CON UTILIDAD DEL 25% PARA PODER RECUPERAR LA INVERSIÓN Y TENER UTILIDAD DE $1MDP. </t>
  </si>
  <si>
    <t>OBTENER MAS SUMINISTRO POR AL MENOS $5MDP CON UNA UTILIDAD DEL 25% PARA PODER RECUPERAR LA INV Y GENERAR UTILIDAD, YA SE HABLO CON EL PRESIDENTE Y ESTAN ANALIZANDO EL PRESUPUESTO PARA VER QUE OTRO TEMA SE NOS PUEDE DAR</t>
  </si>
  <si>
    <t>Se terminaron los trabajos el dia 18/04/26</t>
  </si>
  <si>
    <t>Se termina  la Obra para el  24 de abril</t>
  </si>
  <si>
    <t>Infraestructura Eléctrica Cancha de Tenis (Proyecto personal del Arq. Regalado)</t>
  </si>
  <si>
    <t>Proyecto Terminado y pagado</t>
  </si>
  <si>
    <t>Proyecto Terminado pendiente de Pago</t>
  </si>
  <si>
    <t>Obra Terminada y pagado</t>
  </si>
  <si>
    <t>Obra Terminada pendiente de pago</t>
  </si>
  <si>
    <t>TERMINADA Y PAGADO</t>
  </si>
  <si>
    <t>Pavimento Asfáltico Contrato 6</t>
  </si>
  <si>
    <t>Obras/Licitación</t>
  </si>
  <si>
    <t>Drenaje, banquetas, guarniciones y andador de calle Morelos</t>
  </si>
  <si>
    <t>Se han hecho 16 pagos de 30</t>
  </si>
  <si>
    <t>Se paga en junio</t>
  </si>
  <si>
    <t>Ya pagaron una parte</t>
  </si>
  <si>
    <t>En junio paga</t>
  </si>
  <si>
    <t>YA SE RECUPERO LA INVERISÓN Y SE TIENE COBRADO UNA UTILIDAD DE $2.2MDP, FALTA COBRAR VARIOS PROYECTOS DE ARRENDAMIENTO</t>
  </si>
  <si>
    <t>INFORME ENSENADA 2025/2026</t>
  </si>
  <si>
    <t xml:space="preserve">Iluminación </t>
  </si>
  <si>
    <t>ENSENADA</t>
  </si>
  <si>
    <t>YA SE AUTORIZO EL PORYECTO DE $50.2MDP SOLO ESTAMOS EN ESPERA DE QUE SE HAGAN LOS LEVANTAMIENTOS POR PARTE DE OBRAS</t>
  </si>
  <si>
    <t xml:space="preserve"> </t>
  </si>
  <si>
    <t>PAGADA</t>
  </si>
  <si>
    <t>Entregada</t>
  </si>
  <si>
    <t>Se esta viendo lo del pago</t>
  </si>
  <si>
    <t xml:space="preserve">Pipa, camión y volteo. </t>
  </si>
  <si>
    <t>CANCELADO</t>
  </si>
  <si>
    <t>En espera de autorizacion</t>
  </si>
  <si>
    <t>Venta de ambulancia, entregada el 25 de febrero y en espera de un recolector y una pipa</t>
  </si>
  <si>
    <t>CON LA NUEVA OBRA SE RECUPERA LA APORTACIÓN Y SE TIENE UNA UTILIDAD DE $2.1MDP</t>
  </si>
  <si>
    <t>ya pagaron otra parte del proyecto por $469,178.65</t>
  </si>
  <si>
    <t>Ya se tiene el contrato</t>
  </si>
  <si>
    <t>Repavimentación Asfalto en Caliente Mérida 7</t>
  </si>
  <si>
    <t xml:space="preserve">En proceso de Termino de los trabajos </t>
  </si>
  <si>
    <t>Se solicitaron 300 Luminarias modelo  LPF-70W 12,600 Lúmenes. Ya fueron entregadas en su totalidad. Acaba de pedir 100 luminarias mas</t>
  </si>
  <si>
    <t>Se instalaron 20 luminarias para llevar a cabo la inauguración (LPF-100W)</t>
  </si>
  <si>
    <t>Ingeniería Electrica en el Malecón con 195 Luminarias (En proceso licitación); Se instalaron 18 Luminarias Solares LS3 solicitadas y  se entregó proyecto de Puerta monumental de Acceso</t>
  </si>
  <si>
    <t>Se entregaron 25 luminarias  electricas (LPFO-50w) de 6,000 LMNS y 25 luminarias electricas (LPFC-100W)) de 12,000 LMNS.</t>
  </si>
  <si>
    <t>En junio hacen el pedido</t>
  </si>
  <si>
    <t>Después de pagar la ambulancia paga el recolector</t>
  </si>
  <si>
    <t>En julio</t>
  </si>
  <si>
    <t>En espera de recibir el pedido</t>
  </si>
  <si>
    <t>En espera del pago y se esta viendo acepten un camión</t>
  </si>
  <si>
    <t>En espera de ver tema de luminarias y va a pedir una pipa o un volteo</t>
  </si>
  <si>
    <t>Pidieron un compactador</t>
  </si>
  <si>
    <t>El jueves nos confirma el pedido de luminarias</t>
  </si>
  <si>
    <t>Obra Pavimentación</t>
  </si>
  <si>
    <t>Se está atendiendo 10 Luminarias reportadas para garantías.</t>
  </si>
  <si>
    <t>Este proyecto se hará hasta el siguiente año. Ya que no cuentan con el recurso. Se hará un proyecto para que con eso puedan pedir el recurso.</t>
  </si>
  <si>
    <t>16 Ambulancias y Obra</t>
  </si>
  <si>
    <t>MITAD PAGADA</t>
  </si>
  <si>
    <t>Equipo de Cómputo</t>
  </si>
  <si>
    <t>Ya nos autorizaron un proyecto de papeleria por $1.3MDP. Estamos en espera de que se entregue</t>
  </si>
  <si>
    <t>YA ESTAN PAGANDO LOS MUNICIPIOS, ENTRE ELLOS XICO, SOLEDAD DE DOBLADO, CATEMACO Y CHINAMECA</t>
  </si>
  <si>
    <t>YA SE COBRO LA PRIMERA FACTURA DE $20MDP Y EN MAYO LOS OTROS $20MDP, LOS ÚLTIMOS $20MDP DESPUES DE MAYO, DEL CONTRATO DE VIGILANCIA YA SE ENTREGO SOLO EN ESPERA DEL PAGO</t>
  </si>
  <si>
    <t>YA SE CONSIGUIERON DOS PROYECTOS MAS, ESTAMOS EN ESPERA DE TEMAS DE CABILDO</t>
  </si>
  <si>
    <t>YA SE RECUPERÓ LA INVERSIÓN Y SE TIENE UNA UTILIDAD DE  $5.6MDP CON EL POSIBLE CONTRATO DE LAS AMBULANCIAS Y SE ESPERA IGUAL EL TEMA DE LA OBRA NUEVA</t>
  </si>
  <si>
    <t>CON LOS PROYECTOS QUE SE TIENEN SE RECUPERA LA INVERSIÓN Y SE TIENE UNA UTILIDAD DE $1,153,738, SE ESTA TRABAJANDO EN EL TEMA DEL COBRO</t>
  </si>
  <si>
    <t>CON LOS PROYECTOS QUE SE TIENE YA SE RECUPERO LA INVERSIÓN Y SE TIENE UNA UTILIDAD DE $253,296. SE TIENE YA UNA NUEVA OBRA DE APROX 2MDP</t>
  </si>
  <si>
    <t>SE NOS ACABA DE DAR UNA NUEVA OBRA PARA ALCANZAR UNA UTILIDAD DE $4.5</t>
  </si>
  <si>
    <t>Drenaje y Agua Potable</t>
  </si>
  <si>
    <t>Terminado y pagado (Reporte Entregado 11-06-2026)</t>
  </si>
  <si>
    <t>Estamos en espera de que nos asignen el presupuesto</t>
  </si>
  <si>
    <t>Se tiene cita esta semana para ver el tema del pago</t>
  </si>
  <si>
    <t>El 30 de junio pagan</t>
  </si>
  <si>
    <t>La otra parte se paga en agosto</t>
  </si>
  <si>
    <t>En junio paga la mitad y en agosto la otra mitad</t>
  </si>
  <si>
    <t>Esta semana nos dicen si la aceptan</t>
  </si>
  <si>
    <t>Compactador</t>
  </si>
  <si>
    <t>En junio pagan</t>
  </si>
  <si>
    <t>En julio pagan</t>
  </si>
  <si>
    <t>En junio paga la mitad</t>
  </si>
  <si>
    <t>Abona en junio la mitad y va abonar cada mes para que la liquide este año</t>
  </si>
  <si>
    <t>Se paga en junio la mitad</t>
  </si>
  <si>
    <t>Lo va a ir a buscar y despues paga</t>
  </si>
  <si>
    <t>Camaron</t>
  </si>
  <si>
    <t>luminarias</t>
  </si>
  <si>
    <t>La 1era quincena de agosto paga</t>
  </si>
  <si>
    <t>Paga en agosto</t>
  </si>
  <si>
    <t>Nos pidio cotización de luminarias</t>
  </si>
  <si>
    <t>En 2 meses nos avisa</t>
  </si>
  <si>
    <t>Ya se tuvo cita con el nuevo director y estamos esperando que nos indiquen el presupuesto. Esta semana nos citaron para ver el tema</t>
  </si>
  <si>
    <t>El día de hoy van a ver em tema de la obra y estam semana igual el tema de las ambulancias</t>
  </si>
  <si>
    <t>Se paga en agosto la otra parte</t>
  </si>
  <si>
    <t>Proyecto Muros de Contención en Tapachula Chiapas</t>
  </si>
  <si>
    <t>obras</t>
  </si>
  <si>
    <t>Mañana me cito Don Pedro para ver el tema de Durango</t>
  </si>
  <si>
    <t>Ya se metio la fact en espera del pago</t>
  </si>
  <si>
    <t>Ya se hizo el 13vo pago por $1,002,192.Ya se hablo con la presidenta ya nos va a hacer un plan de pagos</t>
  </si>
  <si>
    <t>Se terminó la ejecución de los  los trabajos de Agua Potable. Estimacion 1 de Drenaje en proceso de pago; Estimacion 1 finiquito de Agua Potable en tramite</t>
  </si>
  <si>
    <t>Obra en ejecución,  En proceso la Segunda estimación por la cantidad de 2.7 mdp, ingresa el lunes 29/06/26</t>
  </si>
  <si>
    <t xml:space="preserve"> REHABILITACIÓN CARRETERA EL CARMEN</t>
  </si>
  <si>
    <t xml:space="preserve">Alumbrado </t>
  </si>
  <si>
    <t>Obras/Licitaciones</t>
  </si>
  <si>
    <t>Obra en proceso de ejecución Calendarizado. Quedo ingresada la primera estimación por la cantidad de $211,916.00 Factura 1183</t>
  </si>
  <si>
    <t>Obra asignada, con inicio 10/07/26, monto aproximado $503,630.50 hasta su asignación. Solicitaron dar inicio adelantado.</t>
  </si>
  <si>
    <r>
      <t xml:space="preserve">El proyecto ya se entregó a Obras Públicas, el día </t>
    </r>
    <r>
      <rPr>
        <b/>
        <sz val="10"/>
        <color theme="1"/>
        <rFont val="Arial"/>
        <family val="2"/>
      </rPr>
      <t>Lunes 29</t>
    </r>
    <r>
      <rPr>
        <sz val="10"/>
        <color theme="1"/>
        <rFont val="Arial"/>
        <family val="2"/>
      </rPr>
      <t xml:space="preserve"> nos lo hacen llegar y teniendo el presupuesto autorizado se realizará la </t>
    </r>
    <r>
      <rPr>
        <b/>
        <sz val="10"/>
        <color theme="1"/>
        <rFont val="Arial"/>
        <family val="2"/>
      </rPr>
      <t>Corrida Financiera</t>
    </r>
    <r>
      <rPr>
        <sz val="10"/>
        <color theme="1"/>
        <rFont val="Arial"/>
        <family val="2"/>
      </rPr>
      <t xml:space="preserve"> con un monto aproximado del proyecto aun en proceso de autorización de</t>
    </r>
    <r>
      <rPr>
        <b/>
        <sz val="10"/>
        <color theme="1"/>
        <rFont val="Arial"/>
        <family val="2"/>
      </rPr>
      <t xml:space="preserve"> $7,352,817.00</t>
    </r>
    <r>
      <rPr>
        <sz val="10"/>
        <color theme="1"/>
        <rFont val="Arial"/>
        <family val="2"/>
      </rPr>
      <t xml:space="preserve"> El próximo </t>
    </r>
    <r>
      <rPr>
        <b/>
        <sz val="10"/>
        <color theme="1"/>
        <rFont val="Arial"/>
        <family val="2"/>
      </rPr>
      <t>miércoles 01 de julio</t>
    </r>
    <r>
      <rPr>
        <sz val="10"/>
        <color theme="1"/>
        <rFont val="Arial"/>
        <family val="2"/>
      </rPr>
      <t xml:space="preserve"> tendremos el documento del convenio para ser firmado por las partes.</t>
    </r>
  </si>
  <si>
    <t>Obra en proceso, se está trabajando en la primera estimación con un monto aproximado de $2.3 mdp. El cierre de la estimación sera el 30 de Junio y se pagará en un periodo aproximado de 10 días.</t>
  </si>
  <si>
    <t>Se concluyó con la obra de Pavimentación, martes 30/06/26, estamos en espera del pago correspondiente a la Estimación Finiquito por la cantidad de $716,401.60</t>
  </si>
  <si>
    <t>Proyecto de pavimentación y Drenaje y Agua potable, ya fueron entregados a las áreas correspondientes, internamente estan realizando el proceso de licitación, esta semana nos dicen fecha de proceso. El día de hoy 26-06-26 solicitaron un cambio en el proyecto de drenaje y agua potable y la modificación de 6 conceptos.</t>
  </si>
  <si>
    <t>Drenaje los Azufres</t>
  </si>
  <si>
    <t xml:space="preserve">Obra en sistema, en espera de fecha de contrato, monto $1.6 mdp; </t>
  </si>
  <si>
    <t>El contrato se tiene contemplado para el 01/07/26, por un monto $2.3 mdp mientras tanto se está realizando la corrida financiera para entregarse a revisión el 27-06-26</t>
  </si>
  <si>
    <t>Obra en ejecución,  En proceso la primera estimación, por ingresar el viernes 03/07/26 con un monto aproximado de $3.2mdp</t>
  </si>
  <si>
    <t>se está realizando la corrida Financiera correspondiente se envía a revisión para autorización del día 27-06-26</t>
  </si>
  <si>
    <t>Las Delicias Drenaje sanitario, guarniciones y banquetas y pavimento.</t>
  </si>
  <si>
    <t>Se está realizando la corrida financiera y será entregada para su revisión el próximo lunes 29-06-26 con un monto total aun en revisión de $2,783,961.00</t>
  </si>
  <si>
    <t>SE ABONARON $500,000</t>
  </si>
  <si>
    <t>2 estaquitas y 1 virtus</t>
  </si>
  <si>
    <t>Arrendamientos de Vehìculos Admón  13 unidades hasta sept y 9 unidades 2 meses</t>
  </si>
  <si>
    <t>Se lleva pagado 16 meses de 32</t>
  </si>
  <si>
    <t>Arrendamiento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</si>
</sst>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#,##0;[Red]\-&quot;$&quot;#,##0"/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#,##0_ ;\-#,##0\ "/>
    <numFmt numFmtId="166" formatCode="_-&quot;$&quot;* #,##0.0_-;\-&quot;$&quot;* #,##0.0_-;_-&quot;$&quot;* &quot;-&quot;?_-;_-@_-"/>
    <numFmt numFmtId="167" formatCode="&quot;$&quot;#,##0.00"/>
    <numFmt numFmtId="168" formatCode="&quot;$&quot;#,##0"/>
    <numFmt numFmtId="169" formatCode="_-&quot;$&quot;* #,##0_-;\-&quot;$&quot;* #,##0_-;_-&quot;$&quot;* &quot;-&quot;??_-;_-@"/>
  </numFmts>
  <fonts count="6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244061"/>
      <name val="Calibri"/>
      <family val="2"/>
    </font>
    <font>
      <sz val="11"/>
      <name val="Calibri"/>
      <family val="2"/>
    </font>
    <font>
      <b/>
      <sz val="12"/>
      <color rgb="FF244061"/>
      <name val="Calibri"/>
      <family val="2"/>
    </font>
    <font>
      <b/>
      <sz val="14"/>
      <color rgb="FF9C0006"/>
      <name val="Calibri"/>
      <family val="2"/>
    </font>
    <font>
      <b/>
      <sz val="12"/>
      <color rgb="FF9C0006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0"/>
      <color rgb="FF9C0006"/>
      <name val="Calibri"/>
      <family val="2"/>
    </font>
    <font>
      <sz val="10"/>
      <color theme="1"/>
      <name val="Calibri"/>
      <family val="2"/>
    </font>
    <font>
      <b/>
      <sz val="18"/>
      <color rgb="FF244061"/>
      <name val="Calibri"/>
      <family val="2"/>
    </font>
    <font>
      <b/>
      <sz val="10"/>
      <color theme="1"/>
      <name val="Calibri"/>
      <family val="2"/>
    </font>
    <font>
      <b/>
      <sz val="16"/>
      <color rgb="FF244061"/>
      <name val="Calibri"/>
      <family val="2"/>
    </font>
    <font>
      <b/>
      <sz val="14"/>
      <color rgb="FF244061"/>
      <name val="Calibri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rgb="FF00206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mo Bold"/>
    </font>
    <font>
      <b/>
      <sz val="10"/>
      <color rgb="FF002060"/>
      <name val="Arimo Bold"/>
    </font>
    <font>
      <b/>
      <sz val="10"/>
      <color rgb="FF00206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4"/>
      <color rgb="FF9C0006"/>
      <name val="Calibri"/>
      <family val="2"/>
      <scheme val="major"/>
    </font>
    <font>
      <b/>
      <sz val="12"/>
      <color rgb="FF9C0006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002060"/>
      <name val="Calibri"/>
      <family val="2"/>
      <scheme val="major"/>
    </font>
    <font>
      <b/>
      <sz val="10"/>
      <color theme="1"/>
      <name val="Calibri"/>
      <family val="2"/>
      <scheme val="major"/>
    </font>
    <font>
      <b/>
      <sz val="11"/>
      <color theme="0"/>
      <name val="Calibri"/>
      <family val="2"/>
      <scheme val="major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48"/>
      <color theme="0"/>
      <name val="Calibri"/>
      <family val="2"/>
      <scheme val="minor"/>
    </font>
    <font>
      <b/>
      <sz val="11"/>
      <color rgb="FF9C0006"/>
      <name val="Calibri"/>
      <family val="2"/>
    </font>
    <font>
      <b/>
      <sz val="12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ajor"/>
    </font>
  </fonts>
  <fills count="3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CCC0D9"/>
        <bgColor rgb="FFCCC0D9"/>
      </patternFill>
    </fill>
    <fill>
      <patternFill patternType="solid">
        <fgColor rgb="FFF9CB9C"/>
        <bgColor rgb="FFF9CB9C"/>
      </patternFill>
    </fill>
    <fill>
      <patternFill patternType="solid">
        <fgColor rgb="FF244061"/>
        <bgColor rgb="FF244061"/>
      </patternFill>
    </fill>
    <fill>
      <patternFill patternType="solid">
        <fgColor rgb="FFC00000"/>
        <bgColor rgb="FFC00000"/>
      </patternFill>
    </fill>
    <fill>
      <patternFill patternType="solid">
        <fgColor rgb="FFFABF8F"/>
        <bgColor rgb="FFFABF8F"/>
      </patternFill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013542"/>
        <bgColor indexed="64"/>
      </patternFill>
    </fill>
    <fill>
      <patternFill patternType="solid">
        <fgColor rgb="FFB2FCC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C6D9F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C6D9F0"/>
      </patternFill>
    </fill>
    <fill>
      <patternFill patternType="solid">
        <fgColor theme="6" tint="0.59999389629810485"/>
        <bgColor rgb="FFC6D9F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C6D9F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9" fontId="30" fillId="0" borderId="0" applyFont="0" applyFill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44" fontId="41" fillId="0" borderId="0" applyFont="0" applyFill="0" applyBorder="0" applyAlignment="0" applyProtection="0"/>
    <xf numFmtId="0" fontId="61" fillId="0" borderId="13"/>
    <xf numFmtId="9" fontId="4" fillId="0" borderId="13" applyFont="0" applyFill="0" applyBorder="0" applyAlignment="0" applyProtection="0"/>
    <xf numFmtId="44" fontId="4" fillId="0" borderId="13" applyFont="0" applyFill="0" applyBorder="0" applyAlignment="0" applyProtection="0"/>
    <xf numFmtId="0" fontId="3" fillId="0" borderId="13"/>
    <xf numFmtId="0" fontId="2" fillId="0" borderId="13"/>
  </cellStyleXfs>
  <cellXfs count="466">
    <xf numFmtId="0" fontId="0" fillId="0" borderId="0" xfId="0"/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4" xfId="0" applyNumberFormat="1" applyFont="1" applyFill="1" applyBorder="1" applyAlignment="1">
      <alignment horizontal="center" vertical="center" wrapText="1"/>
    </xf>
    <xf numFmtId="14" fontId="12" fillId="3" borderId="4" xfId="0" applyNumberFormat="1" applyFont="1" applyFill="1" applyBorder="1" applyAlignment="1">
      <alignment horizontal="center" vertical="center" wrapText="1"/>
    </xf>
    <xf numFmtId="164" fontId="12" fillId="3" borderId="10" xfId="0" applyNumberFormat="1" applyFont="1" applyFill="1" applyBorder="1" applyAlignment="1">
      <alignment horizontal="center" vertical="center" wrapText="1"/>
    </xf>
    <xf numFmtId="164" fontId="12" fillId="3" borderId="11" xfId="0" applyNumberFormat="1" applyFont="1" applyFill="1" applyBorder="1" applyAlignment="1">
      <alignment horizontal="center" vertical="center" wrapText="1"/>
    </xf>
    <xf numFmtId="14" fontId="12" fillId="3" borderId="8" xfId="0" applyNumberFormat="1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left" vertical="center" wrapText="1"/>
    </xf>
    <xf numFmtId="164" fontId="16" fillId="3" borderId="12" xfId="0" applyNumberFormat="1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/>
    </xf>
    <xf numFmtId="9" fontId="16" fillId="3" borderId="12" xfId="0" applyNumberFormat="1" applyFont="1" applyFill="1" applyBorder="1" applyAlignment="1">
      <alignment horizontal="center" vertical="center" wrapText="1"/>
    </xf>
    <xf numFmtId="0" fontId="16" fillId="12" borderId="12" xfId="0" applyFont="1" applyFill="1" applyBorder="1" applyAlignment="1">
      <alignment horizontal="center" vertical="center" wrapText="1"/>
    </xf>
    <xf numFmtId="0" fontId="17" fillId="12" borderId="12" xfId="0" applyFont="1" applyFill="1" applyBorder="1" applyAlignment="1">
      <alignment horizontal="left" vertical="center" wrapText="1"/>
    </xf>
    <xf numFmtId="0" fontId="23" fillId="0" borderId="0" xfId="0" applyFont="1"/>
    <xf numFmtId="164" fontId="16" fillId="12" borderId="12" xfId="0" applyNumberFormat="1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164" fontId="25" fillId="12" borderId="12" xfId="0" applyNumberFormat="1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164" fontId="25" fillId="3" borderId="12" xfId="0" applyNumberFormat="1" applyFont="1" applyFill="1" applyBorder="1" applyAlignment="1">
      <alignment horizontal="center" vertical="center" wrapText="1"/>
    </xf>
    <xf numFmtId="10" fontId="25" fillId="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7" fillId="13" borderId="12" xfId="0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center" vertical="center"/>
    </xf>
    <xf numFmtId="0" fontId="19" fillId="0" borderId="0" xfId="0" applyFont="1" applyAlignment="1">
      <alignment wrapText="1"/>
    </xf>
    <xf numFmtId="0" fontId="19" fillId="13" borderId="12" xfId="0" applyFont="1" applyFill="1" applyBorder="1" applyAlignment="1">
      <alignment horizontal="center" vertical="center" wrapText="1"/>
    </xf>
    <xf numFmtId="164" fontId="12" fillId="3" borderId="13" xfId="0" applyNumberFormat="1" applyFont="1" applyFill="1" applyBorder="1" applyAlignment="1">
      <alignment horizontal="center" vertical="center" wrapText="1"/>
    </xf>
    <xf numFmtId="14" fontId="12" fillId="3" borderId="13" xfId="0" applyNumberFormat="1" applyFont="1" applyFill="1" applyBorder="1" applyAlignment="1">
      <alignment horizontal="center" vertical="center" wrapText="1"/>
    </xf>
    <xf numFmtId="14" fontId="12" fillId="3" borderId="11" xfId="0" applyNumberFormat="1" applyFont="1" applyFill="1" applyBorder="1" applyAlignment="1">
      <alignment horizontal="center" vertical="center" wrapText="1"/>
    </xf>
    <xf numFmtId="9" fontId="16" fillId="3" borderId="12" xfId="1" applyFont="1" applyFill="1" applyBorder="1" applyAlignment="1">
      <alignment horizontal="center" vertical="center" wrapText="1"/>
    </xf>
    <xf numFmtId="9" fontId="19" fillId="13" borderId="12" xfId="1" applyFont="1" applyFill="1" applyBorder="1" applyAlignment="1">
      <alignment horizontal="center" vertical="center" wrapText="1"/>
    </xf>
    <xf numFmtId="9" fontId="25" fillId="12" borderId="12" xfId="1" applyFont="1" applyFill="1" applyBorder="1" applyAlignment="1">
      <alignment horizontal="center" vertical="center" wrapText="1"/>
    </xf>
    <xf numFmtId="0" fontId="14" fillId="8" borderId="15" xfId="0" applyFont="1" applyFill="1" applyBorder="1"/>
    <xf numFmtId="9" fontId="16" fillId="13" borderId="12" xfId="1" applyFont="1" applyFill="1" applyBorder="1" applyAlignment="1">
      <alignment horizontal="left" vertical="center" wrapText="1"/>
    </xf>
    <xf numFmtId="9" fontId="16" fillId="13" borderId="12" xfId="1" applyFont="1" applyFill="1" applyBorder="1" applyAlignment="1">
      <alignment horizontal="center" vertical="center" wrapText="1"/>
    </xf>
    <xf numFmtId="0" fontId="32" fillId="12" borderId="12" xfId="0" applyFont="1" applyFill="1" applyBorder="1" applyAlignment="1">
      <alignment horizontal="left" vertical="center" wrapText="1"/>
    </xf>
    <xf numFmtId="0" fontId="32" fillId="3" borderId="12" xfId="0" applyFont="1" applyFill="1" applyBorder="1" applyAlignment="1">
      <alignment horizontal="left" vertical="center" wrapText="1"/>
    </xf>
    <xf numFmtId="9" fontId="16" fillId="12" borderId="12" xfId="0" applyNumberFormat="1" applyFont="1" applyFill="1" applyBorder="1" applyAlignment="1">
      <alignment horizontal="center" vertical="center" wrapText="1"/>
    </xf>
    <xf numFmtId="0" fontId="25" fillId="12" borderId="22" xfId="0" applyFont="1" applyFill="1" applyBorder="1" applyAlignment="1">
      <alignment horizontal="center" vertical="center" wrapText="1"/>
    </xf>
    <xf numFmtId="0" fontId="25" fillId="3" borderId="22" xfId="0" applyFont="1" applyFill="1" applyBorder="1" applyAlignment="1">
      <alignment horizontal="center" vertical="center" wrapText="1"/>
    </xf>
    <xf numFmtId="0" fontId="15" fillId="9" borderId="27" xfId="0" applyFont="1" applyFill="1" applyBorder="1" applyAlignment="1">
      <alignment horizontal="center" vertical="center" wrapText="1"/>
    </xf>
    <xf numFmtId="0" fontId="17" fillId="12" borderId="26" xfId="0" applyFont="1" applyFill="1" applyBorder="1" applyAlignment="1">
      <alignment horizontal="left" vertical="center" wrapText="1"/>
    </xf>
    <xf numFmtId="9" fontId="25" fillId="12" borderId="26" xfId="1" applyFont="1" applyFill="1" applyBorder="1" applyAlignment="1">
      <alignment horizontal="center" vertical="center" wrapText="1"/>
    </xf>
    <xf numFmtId="164" fontId="25" fillId="12" borderId="26" xfId="0" applyNumberFormat="1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left" vertical="center" wrapText="1"/>
    </xf>
    <xf numFmtId="9" fontId="25" fillId="3" borderId="26" xfId="0" applyNumberFormat="1" applyFont="1" applyFill="1" applyBorder="1" applyAlignment="1">
      <alignment horizontal="center" vertical="center" wrapText="1"/>
    </xf>
    <xf numFmtId="164" fontId="25" fillId="3" borderId="26" xfId="0" applyNumberFormat="1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3" borderId="22" xfId="0" applyFont="1" applyFill="1" applyBorder="1" applyAlignment="1">
      <alignment horizontal="left" vertical="center" wrapText="1"/>
    </xf>
    <xf numFmtId="0" fontId="17" fillId="12" borderId="22" xfId="0" applyFont="1" applyFill="1" applyBorder="1" applyAlignment="1">
      <alignment horizontal="left"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13" borderId="22" xfId="0" applyFont="1" applyFill="1" applyBorder="1" applyAlignment="1">
      <alignment horizontal="left" vertical="center" wrapText="1"/>
    </xf>
    <xf numFmtId="9" fontId="25" fillId="3" borderId="12" xfId="0" applyNumberFormat="1" applyFont="1" applyFill="1" applyBorder="1" applyAlignment="1">
      <alignment horizontal="center" vertical="center" wrapText="1"/>
    </xf>
    <xf numFmtId="44" fontId="0" fillId="0" borderId="0" xfId="0" applyNumberFormat="1"/>
    <xf numFmtId="0" fontId="14" fillId="8" borderId="32" xfId="0" applyFont="1" applyFill="1" applyBorder="1"/>
    <xf numFmtId="0" fontId="14" fillId="8" borderId="33" xfId="0" applyFont="1" applyFill="1" applyBorder="1"/>
    <xf numFmtId="9" fontId="25" fillId="3" borderId="12" xfId="1" applyFont="1" applyFill="1" applyBorder="1" applyAlignment="1">
      <alignment horizontal="center" vertical="center" wrapText="1"/>
    </xf>
    <xf numFmtId="9" fontId="25" fillId="12" borderId="12" xfId="0" applyNumberFormat="1" applyFont="1" applyFill="1" applyBorder="1" applyAlignment="1">
      <alignment horizontal="center" vertical="center" wrapText="1"/>
    </xf>
    <xf numFmtId="164" fontId="12" fillId="3" borderId="0" xfId="0" applyNumberFormat="1" applyFont="1" applyFill="1" applyAlignment="1">
      <alignment horizontal="center" vertical="center" wrapText="1"/>
    </xf>
    <xf numFmtId="9" fontId="16" fillId="12" borderId="1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9" fontId="16" fillId="0" borderId="13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7" fontId="19" fillId="3" borderId="12" xfId="0" applyNumberFormat="1" applyFont="1" applyFill="1" applyBorder="1" applyAlignment="1">
      <alignment horizontal="center" vertical="center" wrapText="1"/>
    </xf>
    <xf numFmtId="167" fontId="16" fillId="3" borderId="12" xfId="0" applyNumberFormat="1" applyFont="1" applyFill="1" applyBorder="1" applyAlignment="1">
      <alignment horizontal="center" vertical="center" wrapText="1"/>
    </xf>
    <xf numFmtId="167" fontId="23" fillId="12" borderId="12" xfId="0" applyNumberFormat="1" applyFont="1" applyFill="1" applyBorder="1" applyAlignment="1">
      <alignment horizontal="left" vertical="center" wrapText="1"/>
    </xf>
    <xf numFmtId="167" fontId="12" fillId="3" borderId="9" xfId="0" applyNumberFormat="1" applyFont="1" applyFill="1" applyBorder="1" applyAlignment="1">
      <alignment horizontal="center" vertical="center" wrapText="1"/>
    </xf>
    <xf numFmtId="167" fontId="12" fillId="3" borderId="10" xfId="0" applyNumberFormat="1" applyFont="1" applyFill="1" applyBorder="1" applyAlignment="1">
      <alignment horizontal="center" vertical="center" wrapText="1"/>
    </xf>
    <xf numFmtId="167" fontId="15" fillId="9" borderId="12" xfId="0" applyNumberFormat="1" applyFont="1" applyFill="1" applyBorder="1" applyAlignment="1">
      <alignment horizontal="center" vertical="center" wrapText="1"/>
    </xf>
    <xf numFmtId="167" fontId="20" fillId="10" borderId="12" xfId="0" applyNumberFormat="1" applyFont="1" applyFill="1" applyBorder="1"/>
    <xf numFmtId="167" fontId="0" fillId="0" borderId="0" xfId="0" applyNumberFormat="1"/>
    <xf numFmtId="167" fontId="19" fillId="13" borderId="23" xfId="0" applyNumberFormat="1" applyFont="1" applyFill="1" applyBorder="1" applyAlignment="1">
      <alignment horizontal="left" vertical="center" wrapText="1"/>
    </xf>
    <xf numFmtId="167" fontId="19" fillId="13" borderId="12" xfId="0" applyNumberFormat="1" applyFont="1" applyFill="1" applyBorder="1" applyAlignment="1">
      <alignment horizontal="left" vertical="center" wrapText="1"/>
    </xf>
    <xf numFmtId="167" fontId="16" fillId="13" borderId="12" xfId="0" applyNumberFormat="1" applyFont="1" applyFill="1" applyBorder="1" applyAlignment="1">
      <alignment horizontal="left" vertical="center" wrapText="1"/>
    </xf>
    <xf numFmtId="167" fontId="28" fillId="3" borderId="23" xfId="0" applyNumberFormat="1" applyFont="1" applyFill="1" applyBorder="1" applyAlignment="1">
      <alignment horizontal="center" vertical="center" wrapText="1"/>
    </xf>
    <xf numFmtId="167" fontId="28" fillId="3" borderId="12" xfId="0" applyNumberFormat="1" applyFont="1" applyFill="1" applyBorder="1" applyAlignment="1">
      <alignment horizontal="center" vertical="center" wrapText="1"/>
    </xf>
    <xf numFmtId="167" fontId="28" fillId="12" borderId="12" xfId="0" applyNumberFormat="1" applyFont="1" applyFill="1" applyBorder="1" applyAlignment="1">
      <alignment horizontal="center" vertical="center" wrapText="1"/>
    </xf>
    <xf numFmtId="167" fontId="15" fillId="9" borderId="27" xfId="0" applyNumberFormat="1" applyFont="1" applyFill="1" applyBorder="1" applyAlignment="1">
      <alignment horizontal="center" vertical="center" wrapText="1"/>
    </xf>
    <xf numFmtId="167" fontId="12" fillId="3" borderId="1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167" fontId="19" fillId="13" borderId="12" xfId="0" applyNumberFormat="1" applyFont="1" applyFill="1" applyBorder="1" applyAlignment="1">
      <alignment horizontal="center" vertical="center" wrapText="1"/>
    </xf>
    <xf numFmtId="167" fontId="16" fillId="13" borderId="12" xfId="0" applyNumberFormat="1" applyFont="1" applyFill="1" applyBorder="1" applyAlignment="1">
      <alignment horizontal="center" vertical="center" wrapText="1"/>
    </xf>
    <xf numFmtId="167" fontId="19" fillId="12" borderId="12" xfId="0" applyNumberFormat="1" applyFont="1" applyFill="1" applyBorder="1" applyAlignment="1">
      <alignment horizontal="center" vertical="center" wrapText="1"/>
    </xf>
    <xf numFmtId="167" fontId="16" fillId="12" borderId="12" xfId="0" applyNumberFormat="1" applyFont="1" applyFill="1" applyBorder="1" applyAlignment="1">
      <alignment horizontal="center" vertical="center" wrapText="1"/>
    </xf>
    <xf numFmtId="167" fontId="23" fillId="12" borderId="26" xfId="0" applyNumberFormat="1" applyFont="1" applyFill="1" applyBorder="1" applyAlignment="1">
      <alignment horizontal="center" vertical="center" wrapText="1"/>
    </xf>
    <xf numFmtId="167" fontId="25" fillId="12" borderId="26" xfId="0" applyNumberFormat="1" applyFont="1" applyFill="1" applyBorder="1" applyAlignment="1">
      <alignment horizontal="center" vertical="center" wrapText="1"/>
    </xf>
    <xf numFmtId="167" fontId="23" fillId="3" borderId="26" xfId="0" applyNumberFormat="1" applyFont="1" applyFill="1" applyBorder="1" applyAlignment="1">
      <alignment horizontal="center" vertical="center" wrapText="1"/>
    </xf>
    <xf numFmtId="167" fontId="25" fillId="3" borderId="26" xfId="0" applyNumberFormat="1" applyFont="1" applyFill="1" applyBorder="1" applyAlignment="1">
      <alignment horizontal="center" vertical="center" wrapText="1"/>
    </xf>
    <xf numFmtId="167" fontId="23" fillId="12" borderId="23" xfId="0" applyNumberFormat="1" applyFont="1" applyFill="1" applyBorder="1" applyAlignment="1">
      <alignment horizontal="center" vertical="center" wrapText="1"/>
    </xf>
    <xf numFmtId="167" fontId="23" fillId="12" borderId="12" xfId="0" applyNumberFormat="1" applyFont="1" applyFill="1" applyBorder="1" applyAlignment="1">
      <alignment horizontal="center" vertical="center" wrapText="1"/>
    </xf>
    <xf numFmtId="167" fontId="25" fillId="12" borderId="12" xfId="0" applyNumberFormat="1" applyFont="1" applyFill="1" applyBorder="1" applyAlignment="1">
      <alignment horizontal="center" vertical="center" wrapText="1"/>
    </xf>
    <xf numFmtId="9" fontId="31" fillId="3" borderId="13" xfId="1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/>
    </xf>
    <xf numFmtId="167" fontId="20" fillId="10" borderId="26" xfId="0" applyNumberFormat="1" applyFont="1" applyFill="1" applyBorder="1"/>
    <xf numFmtId="9" fontId="25" fillId="0" borderId="12" xfId="1" applyFont="1" applyFill="1" applyBorder="1" applyAlignment="1">
      <alignment horizontal="center" vertical="center" wrapText="1"/>
    </xf>
    <xf numFmtId="167" fontId="23" fillId="3" borderId="23" xfId="0" applyNumberFormat="1" applyFont="1" applyFill="1" applyBorder="1" applyAlignment="1">
      <alignment horizontal="center" vertical="center" wrapText="1"/>
    </xf>
    <xf numFmtId="167" fontId="23" fillId="3" borderId="12" xfId="0" applyNumberFormat="1" applyFont="1" applyFill="1" applyBorder="1" applyAlignment="1">
      <alignment horizontal="center" vertical="center" wrapText="1"/>
    </xf>
    <xf numFmtId="167" fontId="25" fillId="3" borderId="12" xfId="0" applyNumberFormat="1" applyFont="1" applyFill="1" applyBorder="1" applyAlignment="1">
      <alignment horizontal="center" vertical="center" wrapText="1"/>
    </xf>
    <xf numFmtId="167" fontId="19" fillId="3" borderId="23" xfId="0" applyNumberFormat="1" applyFont="1" applyFill="1" applyBorder="1" applyAlignment="1">
      <alignment horizontal="center" vertical="center" wrapText="1"/>
    </xf>
    <xf numFmtId="167" fontId="19" fillId="12" borderId="23" xfId="0" applyNumberFormat="1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left" vertical="center" wrapText="1"/>
    </xf>
    <xf numFmtId="0" fontId="17" fillId="12" borderId="36" xfId="0" applyFont="1" applyFill="1" applyBorder="1" applyAlignment="1">
      <alignment horizontal="left" vertical="center" wrapText="1"/>
    </xf>
    <xf numFmtId="0" fontId="25" fillId="3" borderId="26" xfId="0" applyFont="1" applyFill="1" applyBorder="1" applyAlignment="1">
      <alignment horizontal="center" vertical="center" wrapText="1"/>
    </xf>
    <xf numFmtId="0" fontId="25" fillId="12" borderId="26" xfId="0" applyFont="1" applyFill="1" applyBorder="1" applyAlignment="1">
      <alignment horizontal="center" vertical="center" wrapText="1"/>
    </xf>
    <xf numFmtId="167" fontId="37" fillId="3" borderId="12" xfId="0" applyNumberFormat="1" applyFont="1" applyFill="1" applyBorder="1" applyAlignment="1">
      <alignment horizontal="center" vertical="center" wrapText="1"/>
    </xf>
    <xf numFmtId="167" fontId="37" fillId="12" borderId="12" xfId="0" applyNumberFormat="1" applyFont="1" applyFill="1" applyBorder="1" applyAlignment="1">
      <alignment horizontal="center" vertical="center" wrapText="1"/>
    </xf>
    <xf numFmtId="0" fontId="16" fillId="14" borderId="27" xfId="0" applyFont="1" applyFill="1" applyBorder="1" applyAlignment="1">
      <alignment horizontal="center" vertical="center" wrapText="1"/>
    </xf>
    <xf numFmtId="0" fontId="32" fillId="14" borderId="24" xfId="0" applyFont="1" applyFill="1" applyBorder="1" applyAlignment="1">
      <alignment horizontal="left" vertical="center" wrapText="1"/>
    </xf>
    <xf numFmtId="9" fontId="16" fillId="14" borderId="27" xfId="0" applyNumberFormat="1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left" vertical="center" wrapText="1"/>
    </xf>
    <xf numFmtId="167" fontId="28" fillId="3" borderId="26" xfId="0" applyNumberFormat="1" applyFont="1" applyFill="1" applyBorder="1" applyAlignment="1">
      <alignment horizontal="center" vertical="center" wrapText="1"/>
    </xf>
    <xf numFmtId="167" fontId="37" fillId="3" borderId="26" xfId="0" applyNumberFormat="1" applyFont="1" applyFill="1" applyBorder="1" applyAlignment="1">
      <alignment horizontal="center" vertical="center" wrapText="1"/>
    </xf>
    <xf numFmtId="9" fontId="16" fillId="3" borderId="26" xfId="1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167" fontId="19" fillId="13" borderId="23" xfId="0" applyNumberFormat="1" applyFont="1" applyFill="1" applyBorder="1" applyAlignment="1">
      <alignment horizontal="center" vertical="center" wrapText="1"/>
    </xf>
    <xf numFmtId="167" fontId="19" fillId="14" borderId="25" xfId="0" applyNumberFormat="1" applyFont="1" applyFill="1" applyBorder="1" applyAlignment="1">
      <alignment horizontal="center" vertical="center" wrapText="1"/>
    </xf>
    <xf numFmtId="167" fontId="19" fillId="14" borderId="27" xfId="0" applyNumberFormat="1" applyFont="1" applyFill="1" applyBorder="1" applyAlignment="1">
      <alignment horizontal="center" vertical="center" wrapText="1"/>
    </xf>
    <xf numFmtId="167" fontId="16" fillId="14" borderId="27" xfId="0" applyNumberFormat="1" applyFont="1" applyFill="1" applyBorder="1" applyAlignment="1">
      <alignment horizontal="center" vertical="center" wrapText="1"/>
    </xf>
    <xf numFmtId="9" fontId="36" fillId="0" borderId="26" xfId="1" applyFont="1" applyBorder="1" applyAlignment="1">
      <alignment horizontal="center" vertical="center"/>
    </xf>
    <xf numFmtId="0" fontId="38" fillId="18" borderId="37" xfId="0" applyFont="1" applyFill="1" applyBorder="1" applyAlignment="1">
      <alignment horizontal="center" wrapText="1" readingOrder="1"/>
    </xf>
    <xf numFmtId="0" fontId="39" fillId="19" borderId="37" xfId="0" applyFont="1" applyFill="1" applyBorder="1" applyAlignment="1">
      <alignment horizontal="center" wrapText="1" readingOrder="1"/>
    </xf>
    <xf numFmtId="0" fontId="39" fillId="19" borderId="37" xfId="0" applyFont="1" applyFill="1" applyBorder="1" applyAlignment="1">
      <alignment horizontal="left" wrapText="1" readingOrder="1"/>
    </xf>
    <xf numFmtId="8" fontId="39" fillId="19" borderId="37" xfId="0" applyNumberFormat="1" applyFont="1" applyFill="1" applyBorder="1" applyAlignment="1">
      <alignment horizontal="left" wrapText="1" readingOrder="1"/>
    </xf>
    <xf numFmtId="0" fontId="39" fillId="19" borderId="37" xfId="0" applyFont="1" applyFill="1" applyBorder="1" applyAlignment="1">
      <alignment horizontal="center" vertical="center" wrapText="1" readingOrder="1"/>
    </xf>
    <xf numFmtId="0" fontId="39" fillId="20" borderId="37" xfId="0" applyFont="1" applyFill="1" applyBorder="1" applyAlignment="1">
      <alignment horizontal="center" wrapText="1" readingOrder="1"/>
    </xf>
    <xf numFmtId="0" fontId="39" fillId="20" borderId="37" xfId="0" applyFont="1" applyFill="1" applyBorder="1" applyAlignment="1">
      <alignment horizontal="left" wrapText="1" readingOrder="1"/>
    </xf>
    <xf numFmtId="8" fontId="39" fillId="20" borderId="37" xfId="0" applyNumberFormat="1" applyFont="1" applyFill="1" applyBorder="1" applyAlignment="1">
      <alignment horizontal="left" wrapText="1" readingOrder="1"/>
    </xf>
    <xf numFmtId="0" fontId="39" fillId="20" borderId="37" xfId="0" applyFont="1" applyFill="1" applyBorder="1" applyAlignment="1">
      <alignment horizontal="center" vertical="center" wrapText="1" readingOrder="1"/>
    </xf>
    <xf numFmtId="167" fontId="21" fillId="15" borderId="26" xfId="0" applyNumberFormat="1" applyFont="1" applyFill="1" applyBorder="1" applyAlignment="1">
      <alignment horizontal="left" vertical="center" wrapText="1"/>
    </xf>
    <xf numFmtId="0" fontId="17" fillId="21" borderId="26" xfId="0" applyFont="1" applyFill="1" applyBorder="1" applyAlignment="1">
      <alignment horizontal="left" vertical="center" wrapText="1"/>
    </xf>
    <xf numFmtId="167" fontId="12" fillId="3" borderId="0" xfId="0" applyNumberFormat="1" applyFont="1" applyFill="1" applyAlignment="1">
      <alignment horizontal="center" vertical="center" wrapText="1"/>
    </xf>
    <xf numFmtId="14" fontId="12" fillId="3" borderId="0" xfId="0" applyNumberFormat="1" applyFont="1" applyFill="1" applyAlignment="1">
      <alignment horizontal="center" vertical="center" wrapText="1"/>
    </xf>
    <xf numFmtId="0" fontId="17" fillId="12" borderId="26" xfId="0" applyFont="1" applyFill="1" applyBorder="1" applyAlignment="1">
      <alignment horizontal="center" vertical="center" wrapText="1"/>
    </xf>
    <xf numFmtId="167" fontId="19" fillId="21" borderId="26" xfId="0" applyNumberFormat="1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justify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167" fontId="23" fillId="0" borderId="26" xfId="0" applyNumberFormat="1" applyFont="1" applyBorder="1" applyAlignment="1">
      <alignment horizontal="center" vertical="center" wrapText="1"/>
    </xf>
    <xf numFmtId="167" fontId="25" fillId="0" borderId="26" xfId="0" applyNumberFormat="1" applyFont="1" applyBorder="1" applyAlignment="1">
      <alignment horizontal="center" vertical="center" wrapText="1"/>
    </xf>
    <xf numFmtId="9" fontId="25" fillId="0" borderId="26" xfId="1" applyFont="1" applyFill="1" applyBorder="1" applyAlignment="1">
      <alignment horizontal="center" vertical="center" wrapText="1"/>
    </xf>
    <xf numFmtId="164" fontId="25" fillId="0" borderId="26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167" fontId="25" fillId="24" borderId="26" xfId="0" applyNumberFormat="1" applyFont="1" applyFill="1" applyBorder="1" applyAlignment="1">
      <alignment horizontal="center" vertical="center" wrapText="1"/>
    </xf>
    <xf numFmtId="9" fontId="25" fillId="24" borderId="26" xfId="1" applyFont="1" applyFill="1" applyBorder="1" applyAlignment="1">
      <alignment horizontal="center" vertical="center" wrapText="1"/>
    </xf>
    <xf numFmtId="164" fontId="25" fillId="24" borderId="26" xfId="0" applyNumberFormat="1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vertical="center" wrapText="1"/>
    </xf>
    <xf numFmtId="167" fontId="19" fillId="12" borderId="26" xfId="0" applyNumberFormat="1" applyFont="1" applyFill="1" applyBorder="1" applyAlignment="1">
      <alignment horizontal="center" vertical="center" wrapText="1"/>
    </xf>
    <xf numFmtId="167" fontId="16" fillId="12" borderId="26" xfId="0" applyNumberFormat="1" applyFont="1" applyFill="1" applyBorder="1" applyAlignment="1">
      <alignment horizontal="center" vertical="center" wrapText="1"/>
    </xf>
    <xf numFmtId="9" fontId="16" fillId="12" borderId="26" xfId="0" applyNumberFormat="1" applyFont="1" applyFill="1" applyBorder="1" applyAlignment="1">
      <alignment horizontal="center" vertical="center" wrapText="1"/>
    </xf>
    <xf numFmtId="0" fontId="16" fillId="12" borderId="26" xfId="0" applyFont="1" applyFill="1" applyBorder="1" applyAlignment="1">
      <alignment horizontal="center" vertical="center" wrapText="1"/>
    </xf>
    <xf numFmtId="167" fontId="19" fillId="3" borderId="26" xfId="0" applyNumberFormat="1" applyFont="1" applyFill="1" applyBorder="1" applyAlignment="1">
      <alignment horizontal="center" vertical="center" wrapText="1"/>
    </xf>
    <xf numFmtId="167" fontId="16" fillId="3" borderId="26" xfId="0" applyNumberFormat="1" applyFont="1" applyFill="1" applyBorder="1" applyAlignment="1">
      <alignment horizontal="center" vertical="center" wrapText="1"/>
    </xf>
    <xf numFmtId="9" fontId="16" fillId="3" borderId="26" xfId="0" applyNumberFormat="1" applyFont="1" applyFill="1" applyBorder="1" applyAlignment="1">
      <alignment horizontal="center" vertical="center" wrapText="1"/>
    </xf>
    <xf numFmtId="0" fontId="19" fillId="22" borderId="26" xfId="0" applyFont="1" applyFill="1" applyBorder="1" applyAlignment="1">
      <alignment horizontal="center" vertical="center"/>
    </xf>
    <xf numFmtId="0" fontId="19" fillId="22" borderId="26" xfId="0" applyFont="1" applyFill="1" applyBorder="1" applyAlignment="1">
      <alignment horizontal="left" vertical="center" wrapText="1"/>
    </xf>
    <xf numFmtId="167" fontId="19" fillId="22" borderId="26" xfId="0" applyNumberFormat="1" applyFont="1" applyFill="1" applyBorder="1" applyAlignment="1">
      <alignment horizontal="center" vertical="center" wrapText="1"/>
    </xf>
    <xf numFmtId="167" fontId="16" fillId="22" borderId="26" xfId="0" applyNumberFormat="1" applyFont="1" applyFill="1" applyBorder="1" applyAlignment="1">
      <alignment horizontal="center" vertical="center" wrapText="1"/>
    </xf>
    <xf numFmtId="9" fontId="16" fillId="22" borderId="26" xfId="0" applyNumberFormat="1" applyFont="1" applyFill="1" applyBorder="1" applyAlignment="1">
      <alignment horizontal="center" vertical="center" wrapText="1"/>
    </xf>
    <xf numFmtId="0" fontId="16" fillId="22" borderId="26" xfId="0" applyFont="1" applyFill="1" applyBorder="1" applyAlignment="1">
      <alignment horizontal="center" vertical="center" wrapText="1"/>
    </xf>
    <xf numFmtId="0" fontId="17" fillId="24" borderId="26" xfId="0" applyFont="1" applyFill="1" applyBorder="1" applyAlignment="1">
      <alignment horizontal="left" vertical="center" wrapText="1"/>
    </xf>
    <xf numFmtId="167" fontId="0" fillId="23" borderId="26" xfId="0" applyNumberFormat="1" applyFill="1" applyBorder="1" applyAlignment="1">
      <alignment horizontal="center" vertical="center"/>
    </xf>
    <xf numFmtId="9" fontId="0" fillId="0" borderId="0" xfId="1" applyFont="1"/>
    <xf numFmtId="9" fontId="14" fillId="23" borderId="26" xfId="0" applyNumberFormat="1" applyFont="1" applyFill="1" applyBorder="1" applyAlignment="1">
      <alignment horizontal="center" vertical="center"/>
    </xf>
    <xf numFmtId="9" fontId="14" fillId="0" borderId="26" xfId="0" applyNumberFormat="1" applyFont="1" applyBorder="1" applyAlignment="1">
      <alignment horizontal="center" vertical="center"/>
    </xf>
    <xf numFmtId="44" fontId="0" fillId="0" borderId="0" xfId="4" applyFont="1"/>
    <xf numFmtId="44" fontId="42" fillId="0" borderId="26" xfId="4" applyFont="1" applyBorder="1" applyAlignment="1">
      <alignment horizontal="center" vertical="center"/>
    </xf>
    <xf numFmtId="44" fontId="42" fillId="23" borderId="26" xfId="4" applyFont="1" applyFill="1" applyBorder="1" applyAlignment="1">
      <alignment horizontal="center" vertical="center"/>
    </xf>
    <xf numFmtId="44" fontId="28" fillId="3" borderId="12" xfId="0" applyNumberFormat="1" applyFont="1" applyFill="1" applyBorder="1" applyAlignment="1">
      <alignment horizontal="center" vertical="center" wrapText="1"/>
    </xf>
    <xf numFmtId="167" fontId="15" fillId="9" borderId="25" xfId="0" applyNumberFormat="1" applyFont="1" applyFill="1" applyBorder="1" applyAlignment="1">
      <alignment horizontal="center" vertical="center" wrapText="1"/>
    </xf>
    <xf numFmtId="0" fontId="0" fillId="23" borderId="26" xfId="0" applyFill="1" applyBorder="1" applyAlignment="1">
      <alignment horizontal="center" vertical="center"/>
    </xf>
    <xf numFmtId="9" fontId="14" fillId="23" borderId="26" xfId="1" applyFont="1" applyFill="1" applyBorder="1" applyAlignment="1">
      <alignment horizontal="center" vertical="center"/>
    </xf>
    <xf numFmtId="44" fontId="23" fillId="12" borderId="26" xfId="4" applyFont="1" applyFill="1" applyBorder="1" applyAlignment="1">
      <alignment horizontal="center" vertical="center" wrapText="1"/>
    </xf>
    <xf numFmtId="44" fontId="0" fillId="23" borderId="26" xfId="4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justify" vertical="center" wrapText="1"/>
    </xf>
    <xf numFmtId="0" fontId="17" fillId="3" borderId="36" xfId="0" applyFont="1" applyFill="1" applyBorder="1" applyAlignment="1">
      <alignment horizontal="justify" vertical="center" wrapText="1"/>
    </xf>
    <xf numFmtId="167" fontId="20" fillId="10" borderId="38" xfId="0" applyNumberFormat="1" applyFont="1" applyFill="1" applyBorder="1"/>
    <xf numFmtId="8" fontId="23" fillId="12" borderId="26" xfId="0" applyNumberFormat="1" applyFont="1" applyFill="1" applyBorder="1" applyAlignment="1">
      <alignment horizontal="center" vertical="center" wrapText="1"/>
    </xf>
    <xf numFmtId="8" fontId="20" fillId="10" borderId="12" xfId="0" applyNumberFormat="1" applyFont="1" applyFill="1" applyBorder="1"/>
    <xf numFmtId="0" fontId="43" fillId="16" borderId="26" xfId="2" applyFont="1" applyBorder="1" applyAlignment="1">
      <alignment horizontal="center" vertical="center"/>
    </xf>
    <xf numFmtId="167" fontId="43" fillId="16" borderId="26" xfId="2" applyNumberFormat="1" applyFont="1" applyBorder="1" applyAlignment="1">
      <alignment horizontal="center" vertical="center"/>
    </xf>
    <xf numFmtId="167" fontId="43" fillId="16" borderId="26" xfId="2" applyNumberFormat="1" applyFont="1" applyBorder="1" applyAlignment="1">
      <alignment horizontal="center" vertical="center" wrapText="1"/>
    </xf>
    <xf numFmtId="0" fontId="44" fillId="16" borderId="26" xfId="2" applyFont="1" applyBorder="1" applyAlignment="1">
      <alignment horizontal="center" vertical="center"/>
    </xf>
    <xf numFmtId="168" fontId="44" fillId="16" borderId="26" xfId="2" applyNumberFormat="1" applyFont="1" applyBorder="1" applyAlignment="1">
      <alignment horizontal="center"/>
    </xf>
    <xf numFmtId="167" fontId="44" fillId="16" borderId="26" xfId="2" applyNumberFormat="1" applyFont="1" applyBorder="1" applyAlignment="1">
      <alignment horizontal="center"/>
    </xf>
    <xf numFmtId="0" fontId="45" fillId="0" borderId="0" xfId="0" applyFont="1"/>
    <xf numFmtId="44" fontId="23" fillId="0" borderId="0" xfId="4" applyFont="1"/>
    <xf numFmtId="9" fontId="0" fillId="0" borderId="0" xfId="4" applyNumberFormat="1" applyFont="1"/>
    <xf numFmtId="0" fontId="7" fillId="0" borderId="0" xfId="0" applyFont="1"/>
    <xf numFmtId="44" fontId="7" fillId="0" borderId="0" xfId="4" applyFont="1"/>
    <xf numFmtId="44" fontId="0" fillId="0" borderId="0" xfId="4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/>
    <xf numFmtId="0" fontId="20" fillId="10" borderId="38" xfId="0" applyFont="1" applyFill="1" applyBorder="1" applyAlignment="1">
      <alignment horizontal="center"/>
    </xf>
    <xf numFmtId="0" fontId="17" fillId="12" borderId="41" xfId="0" applyFont="1" applyFill="1" applyBorder="1" applyAlignment="1">
      <alignment horizontal="left" vertical="center" wrapText="1"/>
    </xf>
    <xf numFmtId="167" fontId="23" fillId="12" borderId="25" xfId="0" applyNumberFormat="1" applyFont="1" applyFill="1" applyBorder="1" applyAlignment="1">
      <alignment horizontal="center" vertical="center" wrapText="1"/>
    </xf>
    <xf numFmtId="167" fontId="23" fillId="12" borderId="27" xfId="0" applyNumberFormat="1" applyFont="1" applyFill="1" applyBorder="1" applyAlignment="1">
      <alignment horizontal="center" vertical="center" wrapText="1"/>
    </xf>
    <xf numFmtId="167" fontId="25" fillId="12" borderId="27" xfId="0" applyNumberFormat="1" applyFont="1" applyFill="1" applyBorder="1" applyAlignment="1">
      <alignment horizontal="center" vertical="center" wrapText="1"/>
    </xf>
    <xf numFmtId="9" fontId="25" fillId="12" borderId="27" xfId="1" applyFont="1" applyFill="1" applyBorder="1" applyAlignment="1">
      <alignment horizontal="center" vertical="center" wrapText="1"/>
    </xf>
    <xf numFmtId="164" fontId="25" fillId="12" borderId="27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16" fillId="14" borderId="26" xfId="0" applyFont="1" applyFill="1" applyBorder="1" applyAlignment="1">
      <alignment horizontal="center" vertical="center" wrapText="1"/>
    </xf>
    <xf numFmtId="167" fontId="19" fillId="14" borderId="26" xfId="0" applyNumberFormat="1" applyFont="1" applyFill="1" applyBorder="1" applyAlignment="1">
      <alignment horizontal="center" vertical="center" wrapText="1"/>
    </xf>
    <xf numFmtId="167" fontId="16" fillId="14" borderId="26" xfId="0" applyNumberFormat="1" applyFont="1" applyFill="1" applyBorder="1" applyAlignment="1">
      <alignment horizontal="center" vertical="center" wrapText="1"/>
    </xf>
    <xf numFmtId="9" fontId="16" fillId="14" borderId="26" xfId="0" applyNumberFormat="1" applyFont="1" applyFill="1" applyBorder="1" applyAlignment="1">
      <alignment horizontal="center" vertical="center" wrapText="1"/>
    </xf>
    <xf numFmtId="7" fontId="23" fillId="3" borderId="12" xfId="0" applyNumberFormat="1" applyFont="1" applyFill="1" applyBorder="1" applyAlignment="1">
      <alignment horizontal="center" vertical="center" wrapText="1"/>
    </xf>
    <xf numFmtId="44" fontId="23" fillId="12" borderId="23" xfId="0" applyNumberFormat="1" applyFont="1" applyFill="1" applyBorder="1" applyAlignment="1">
      <alignment horizontal="center" vertical="center" wrapText="1"/>
    </xf>
    <xf numFmtId="44" fontId="23" fillId="12" borderId="12" xfId="0" applyNumberFormat="1" applyFont="1" applyFill="1" applyBorder="1" applyAlignment="1">
      <alignment horizontal="center" vertical="center" wrapText="1"/>
    </xf>
    <xf numFmtId="167" fontId="23" fillId="12" borderId="26" xfId="0" applyNumberFormat="1" applyFont="1" applyFill="1" applyBorder="1" applyAlignment="1">
      <alignment vertical="center" wrapText="1"/>
    </xf>
    <xf numFmtId="0" fontId="55" fillId="15" borderId="26" xfId="0" applyFont="1" applyFill="1" applyBorder="1" applyAlignment="1">
      <alignment horizontal="center" vertical="center" wrapText="1"/>
    </xf>
    <xf numFmtId="168" fontId="56" fillId="15" borderId="26" xfId="0" applyNumberFormat="1" applyFont="1" applyFill="1" applyBorder="1" applyAlignment="1">
      <alignment horizontal="center" vertical="center"/>
    </xf>
    <xf numFmtId="0" fontId="55" fillId="15" borderId="35" xfId="0" applyFont="1" applyFill="1" applyBorder="1" applyAlignment="1">
      <alignment horizontal="center" vertical="center" wrapText="1"/>
    </xf>
    <xf numFmtId="9" fontId="44" fillId="16" borderId="26" xfId="1" applyFont="1" applyFill="1" applyBorder="1" applyAlignment="1">
      <alignment horizontal="center"/>
    </xf>
    <xf numFmtId="10" fontId="36" fillId="0" borderId="26" xfId="1" applyNumberFormat="1" applyFont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6" fillId="20" borderId="26" xfId="0" applyFont="1" applyFill="1" applyBorder="1" applyAlignment="1">
      <alignment horizontal="center"/>
    </xf>
    <xf numFmtId="0" fontId="32" fillId="14" borderId="24" xfId="0" applyFont="1" applyFill="1" applyBorder="1" applyAlignment="1">
      <alignment horizontal="center" vertical="center" wrapText="1"/>
    </xf>
    <xf numFmtId="0" fontId="32" fillId="14" borderId="42" xfId="0" applyFont="1" applyFill="1" applyBorder="1" applyAlignment="1">
      <alignment horizontal="center" vertical="center" wrapText="1"/>
    </xf>
    <xf numFmtId="0" fontId="25" fillId="3" borderId="34" xfId="0" applyFont="1" applyFill="1" applyBorder="1" applyAlignment="1">
      <alignment horizontal="center" vertical="center" wrapText="1"/>
    </xf>
    <xf numFmtId="0" fontId="25" fillId="12" borderId="34" xfId="0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left" vertical="center" wrapText="1"/>
    </xf>
    <xf numFmtId="0" fontId="17" fillId="12" borderId="35" xfId="0" applyFont="1" applyFill="1" applyBorder="1" applyAlignment="1">
      <alignment horizontal="left" vertical="center" wrapText="1"/>
    </xf>
    <xf numFmtId="0" fontId="15" fillId="9" borderId="26" xfId="0" applyFont="1" applyFill="1" applyBorder="1" applyAlignment="1">
      <alignment horizontal="center" vertical="center" wrapText="1"/>
    </xf>
    <xf numFmtId="4" fontId="0" fillId="0" borderId="0" xfId="0" applyNumberFormat="1"/>
    <xf numFmtId="167" fontId="42" fillId="23" borderId="26" xfId="0" applyNumberFormat="1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justify" vertical="center" wrapText="1"/>
    </xf>
    <xf numFmtId="0" fontId="47" fillId="0" borderId="13" xfId="5" applyFont="1"/>
    <xf numFmtId="164" fontId="48" fillId="3" borderId="13" xfId="5" applyNumberFormat="1" applyFont="1" applyFill="1" applyAlignment="1">
      <alignment horizontal="center" vertical="center" wrapText="1"/>
    </xf>
    <xf numFmtId="167" fontId="48" fillId="3" borderId="13" xfId="5" applyNumberFormat="1" applyFont="1" applyFill="1" applyAlignment="1">
      <alignment horizontal="center" vertical="center" wrapText="1"/>
    </xf>
    <xf numFmtId="14" fontId="48" fillId="3" borderId="13" xfId="5" applyNumberFormat="1" applyFont="1" applyFill="1" applyAlignment="1">
      <alignment horizontal="center" vertical="center" wrapText="1"/>
    </xf>
    <xf numFmtId="164" fontId="48" fillId="3" borderId="11" xfId="5" applyNumberFormat="1" applyFont="1" applyFill="1" applyBorder="1" applyAlignment="1">
      <alignment horizontal="center" vertical="center" wrapText="1"/>
    </xf>
    <xf numFmtId="167" fontId="48" fillId="3" borderId="11" xfId="5" applyNumberFormat="1" applyFont="1" applyFill="1" applyBorder="1" applyAlignment="1">
      <alignment horizontal="center" vertical="center" wrapText="1"/>
    </xf>
    <xf numFmtId="14" fontId="48" fillId="3" borderId="11" xfId="5" applyNumberFormat="1" applyFont="1" applyFill="1" applyBorder="1" applyAlignment="1">
      <alignment horizontal="center" vertical="center" wrapText="1"/>
    </xf>
    <xf numFmtId="0" fontId="15" fillId="9" borderId="12" xfId="5" applyFont="1" applyFill="1" applyBorder="1" applyAlignment="1">
      <alignment horizontal="center" vertical="center" wrapText="1"/>
    </xf>
    <xf numFmtId="0" fontId="15" fillId="9" borderId="27" xfId="5" applyFont="1" applyFill="1" applyBorder="1" applyAlignment="1">
      <alignment horizontal="center" vertical="center" wrapText="1"/>
    </xf>
    <xf numFmtId="0" fontId="54" fillId="9" borderId="27" xfId="5" applyFont="1" applyFill="1" applyBorder="1" applyAlignment="1">
      <alignment horizontal="center" vertical="center" wrapText="1"/>
    </xf>
    <xf numFmtId="167" fontId="54" fillId="9" borderId="27" xfId="5" applyNumberFormat="1" applyFont="1" applyFill="1" applyBorder="1" applyAlignment="1">
      <alignment horizontal="center" vertical="center" wrapText="1"/>
    </xf>
    <xf numFmtId="0" fontId="25" fillId="25" borderId="22" xfId="5" applyFont="1" applyFill="1" applyBorder="1" applyAlignment="1">
      <alignment horizontal="center" vertical="center" wrapText="1"/>
    </xf>
    <xf numFmtId="0" fontId="51" fillId="26" borderId="26" xfId="5" applyFont="1" applyFill="1" applyBorder="1" applyAlignment="1">
      <alignment horizontal="left" vertical="center" wrapText="1"/>
    </xf>
    <xf numFmtId="6" fontId="52" fillId="26" borderId="26" xfId="5" applyNumberFormat="1" applyFont="1" applyFill="1" applyBorder="1" applyAlignment="1">
      <alignment horizontal="center" vertical="center" wrapText="1"/>
    </xf>
    <xf numFmtId="167" fontId="51" fillId="26" borderId="26" xfId="5" applyNumberFormat="1" applyFont="1" applyFill="1" applyBorder="1" applyAlignment="1">
      <alignment horizontal="center" vertical="center" wrapText="1"/>
    </xf>
    <xf numFmtId="167" fontId="53" fillId="26" borderId="26" xfId="5" applyNumberFormat="1" applyFont="1" applyFill="1" applyBorder="1" applyAlignment="1">
      <alignment horizontal="center" vertical="center" wrapText="1"/>
    </xf>
    <xf numFmtId="9" fontId="53" fillId="26" borderId="26" xfId="6" applyFont="1" applyFill="1" applyBorder="1" applyAlignment="1">
      <alignment horizontal="center" vertical="center" wrapText="1"/>
    </xf>
    <xf numFmtId="164" fontId="53" fillId="26" borderId="26" xfId="5" applyNumberFormat="1" applyFont="1" applyFill="1" applyBorder="1" applyAlignment="1">
      <alignment horizontal="center" vertical="center" wrapText="1"/>
    </xf>
    <xf numFmtId="0" fontId="25" fillId="3" borderId="22" xfId="5" applyFont="1" applyFill="1" applyBorder="1" applyAlignment="1">
      <alignment horizontal="center" vertical="center" wrapText="1"/>
    </xf>
    <xf numFmtId="0" fontId="51" fillId="3" borderId="26" xfId="5" applyFont="1" applyFill="1" applyBorder="1" applyAlignment="1">
      <alignment horizontal="left" vertical="center" wrapText="1"/>
    </xf>
    <xf numFmtId="164" fontId="51" fillId="3" borderId="26" xfId="5" applyNumberFormat="1" applyFont="1" applyFill="1" applyBorder="1" applyAlignment="1">
      <alignment horizontal="left" vertical="center" wrapText="1"/>
    </xf>
    <xf numFmtId="6" fontId="52" fillId="3" borderId="26" xfId="5" applyNumberFormat="1" applyFont="1" applyFill="1" applyBorder="1" applyAlignment="1">
      <alignment horizontal="center" vertical="center" wrapText="1"/>
    </xf>
    <xf numFmtId="167" fontId="51" fillId="3" borderId="26" xfId="5" applyNumberFormat="1" applyFont="1" applyFill="1" applyBorder="1" applyAlignment="1">
      <alignment horizontal="center" vertical="center" wrapText="1"/>
    </xf>
    <xf numFmtId="167" fontId="51" fillId="24" borderId="26" xfId="5" applyNumberFormat="1" applyFont="1" applyFill="1" applyBorder="1" applyAlignment="1">
      <alignment horizontal="center" vertical="center" wrapText="1"/>
    </xf>
    <xf numFmtId="167" fontId="53" fillId="24" borderId="26" xfId="5" applyNumberFormat="1" applyFont="1" applyFill="1" applyBorder="1" applyAlignment="1">
      <alignment horizontal="center" vertical="center" wrapText="1"/>
    </xf>
    <xf numFmtId="9" fontId="53" fillId="24" borderId="26" xfId="6" applyFont="1" applyFill="1" applyBorder="1" applyAlignment="1">
      <alignment horizontal="center" vertical="center" wrapText="1"/>
    </xf>
    <xf numFmtId="164" fontId="53" fillId="3" borderId="26" xfId="5" applyNumberFormat="1" applyFont="1" applyFill="1" applyBorder="1" applyAlignment="1">
      <alignment horizontal="center" vertical="center" wrapText="1"/>
    </xf>
    <xf numFmtId="9" fontId="53" fillId="3" borderId="26" xfId="6" applyFont="1" applyFill="1" applyBorder="1" applyAlignment="1">
      <alignment horizontal="center" vertical="center" wrapText="1"/>
    </xf>
    <xf numFmtId="0" fontId="51" fillId="28" borderId="26" xfId="5" applyFont="1" applyFill="1" applyBorder="1" applyAlignment="1">
      <alignment horizontal="left" vertical="center" wrapText="1"/>
    </xf>
    <xf numFmtId="6" fontId="52" fillId="28" borderId="26" xfId="5" applyNumberFormat="1" applyFont="1" applyFill="1" applyBorder="1" applyAlignment="1">
      <alignment horizontal="center" vertical="center" wrapText="1"/>
    </xf>
    <xf numFmtId="167" fontId="51" fillId="28" borderId="26" xfId="5" applyNumberFormat="1" applyFont="1" applyFill="1" applyBorder="1" applyAlignment="1">
      <alignment horizontal="center" vertical="center" wrapText="1"/>
    </xf>
    <xf numFmtId="167" fontId="51" fillId="27" borderId="26" xfId="5" applyNumberFormat="1" applyFont="1" applyFill="1" applyBorder="1" applyAlignment="1">
      <alignment horizontal="center" vertical="center" wrapText="1"/>
    </xf>
    <xf numFmtId="167" fontId="53" fillId="27" borderId="26" xfId="5" applyNumberFormat="1" applyFont="1" applyFill="1" applyBorder="1" applyAlignment="1">
      <alignment horizontal="center" vertical="center" wrapText="1"/>
    </xf>
    <xf numFmtId="9" fontId="53" fillId="27" borderId="26" xfId="6" applyFont="1" applyFill="1" applyBorder="1" applyAlignment="1">
      <alignment horizontal="center" vertical="center" wrapText="1"/>
    </xf>
    <xf numFmtId="164" fontId="53" fillId="28" borderId="26" xfId="5" applyNumberFormat="1" applyFont="1" applyFill="1" applyBorder="1" applyAlignment="1">
      <alignment horizontal="center" vertical="center" wrapText="1"/>
    </xf>
    <xf numFmtId="9" fontId="53" fillId="28" borderId="26" xfId="6" applyFont="1" applyFill="1" applyBorder="1" applyAlignment="1">
      <alignment horizontal="center" vertical="center" wrapText="1"/>
    </xf>
    <xf numFmtId="0" fontId="25" fillId="26" borderId="22" xfId="5" applyFont="1" applyFill="1" applyBorder="1" applyAlignment="1">
      <alignment horizontal="center" vertical="center" wrapText="1"/>
    </xf>
    <xf numFmtId="0" fontId="51" fillId="25" borderId="26" xfId="5" applyFont="1" applyFill="1" applyBorder="1" applyAlignment="1">
      <alignment horizontal="left" vertical="center" wrapText="1"/>
    </xf>
    <xf numFmtId="0" fontId="51" fillId="25" borderId="26" xfId="5" applyFont="1" applyFill="1" applyBorder="1" applyAlignment="1">
      <alignment horizontal="justify" vertical="center" wrapText="1"/>
    </xf>
    <xf numFmtId="6" fontId="52" fillId="25" borderId="26" xfId="5" applyNumberFormat="1" applyFont="1" applyFill="1" applyBorder="1" applyAlignment="1">
      <alignment horizontal="center" vertical="center" wrapText="1"/>
    </xf>
    <xf numFmtId="167" fontId="51" fillId="25" borderId="26" xfId="5" applyNumberFormat="1" applyFont="1" applyFill="1" applyBorder="1" applyAlignment="1">
      <alignment horizontal="center" vertical="center" wrapText="1"/>
    </xf>
    <xf numFmtId="164" fontId="53" fillId="25" borderId="26" xfId="5" applyNumberFormat="1" applyFont="1" applyFill="1" applyBorder="1" applyAlignment="1">
      <alignment horizontal="center" vertical="center" wrapText="1"/>
    </xf>
    <xf numFmtId="9" fontId="53" fillId="25" borderId="26" xfId="6" applyFont="1" applyFill="1" applyBorder="1" applyAlignment="1">
      <alignment horizontal="center" vertical="center" wrapText="1"/>
    </xf>
    <xf numFmtId="0" fontId="51" fillId="24" borderId="26" xfId="5" applyFont="1" applyFill="1" applyBorder="1" applyAlignment="1">
      <alignment horizontal="left" vertical="center" wrapText="1"/>
    </xf>
    <xf numFmtId="6" fontId="52" fillId="24" borderId="26" xfId="5" applyNumberFormat="1" applyFont="1" applyFill="1" applyBorder="1" applyAlignment="1">
      <alignment horizontal="center" vertical="center" wrapText="1"/>
    </xf>
    <xf numFmtId="164" fontId="53" fillId="24" borderId="26" xfId="5" applyNumberFormat="1" applyFont="1" applyFill="1" applyBorder="1" applyAlignment="1">
      <alignment horizontal="center" vertical="center" wrapText="1"/>
    </xf>
    <xf numFmtId="0" fontId="25" fillId="24" borderId="22" xfId="5" applyFont="1" applyFill="1" applyBorder="1" applyAlignment="1">
      <alignment horizontal="center" vertical="center" wrapText="1"/>
    </xf>
    <xf numFmtId="164" fontId="51" fillId="25" borderId="26" xfId="5" applyNumberFormat="1" applyFont="1" applyFill="1" applyBorder="1" applyAlignment="1">
      <alignment horizontal="left" vertical="center" wrapText="1"/>
    </xf>
    <xf numFmtId="167" fontId="60" fillId="29" borderId="26" xfId="5" applyNumberFormat="1" applyFont="1" applyFill="1" applyBorder="1"/>
    <xf numFmtId="9" fontId="59" fillId="30" borderId="26" xfId="6" applyFont="1" applyFill="1" applyBorder="1" applyAlignment="1">
      <alignment horizontal="center" vertical="center" wrapText="1"/>
    </xf>
    <xf numFmtId="167" fontId="47" fillId="0" borderId="13" xfId="5" applyNumberFormat="1" applyFont="1"/>
    <xf numFmtId="44" fontId="47" fillId="0" borderId="13" xfId="7" applyFont="1"/>
    <xf numFmtId="44" fontId="47" fillId="0" borderId="13" xfId="6" applyNumberFormat="1" applyFont="1"/>
    <xf numFmtId="0" fontId="17" fillId="12" borderId="27" xfId="0" applyFont="1" applyFill="1" applyBorder="1" applyAlignment="1">
      <alignment horizontal="center" vertical="center" wrapText="1"/>
    </xf>
    <xf numFmtId="0" fontId="25" fillId="12" borderId="24" xfId="0" applyFont="1" applyFill="1" applyBorder="1" applyAlignment="1">
      <alignment horizontal="center" vertical="center" wrapText="1"/>
    </xf>
    <xf numFmtId="0" fontId="17" fillId="12" borderId="24" xfId="0" applyFont="1" applyFill="1" applyBorder="1" applyAlignment="1">
      <alignment horizontal="left" vertical="center" wrapText="1"/>
    </xf>
    <xf numFmtId="167" fontId="28" fillId="12" borderId="25" xfId="0" applyNumberFormat="1" applyFont="1" applyFill="1" applyBorder="1" applyAlignment="1">
      <alignment horizontal="center" vertical="center" wrapText="1"/>
    </xf>
    <xf numFmtId="167" fontId="3" fillId="0" borderId="26" xfId="8" applyNumberFormat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left" vertical="center" wrapText="1"/>
    </xf>
    <xf numFmtId="167" fontId="28" fillId="3" borderId="28" xfId="0" applyNumberFormat="1" applyFont="1" applyFill="1" applyBorder="1" applyAlignment="1">
      <alignment horizontal="center" vertical="center" wrapText="1"/>
    </xf>
    <xf numFmtId="44" fontId="28" fillId="3" borderId="25" xfId="0" applyNumberFormat="1" applyFont="1" applyFill="1" applyBorder="1" applyAlignment="1">
      <alignment horizontal="center" vertical="center" wrapText="1"/>
    </xf>
    <xf numFmtId="167" fontId="28" fillId="3" borderId="27" xfId="0" applyNumberFormat="1" applyFont="1" applyFill="1" applyBorder="1" applyAlignment="1">
      <alignment horizontal="center" vertical="center" wrapText="1"/>
    </xf>
    <xf numFmtId="167" fontId="37" fillId="3" borderId="27" xfId="0" applyNumberFormat="1" applyFont="1" applyFill="1" applyBorder="1" applyAlignment="1">
      <alignment horizontal="center" vertical="center" wrapText="1"/>
    </xf>
    <xf numFmtId="9" fontId="16" fillId="3" borderId="27" xfId="1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167" fontId="28" fillId="12" borderId="26" xfId="0" applyNumberFormat="1" applyFont="1" applyFill="1" applyBorder="1" applyAlignment="1">
      <alignment horizontal="center" vertical="center" wrapText="1"/>
    </xf>
    <xf numFmtId="167" fontId="37" fillId="12" borderId="26" xfId="0" applyNumberFormat="1" applyFont="1" applyFill="1" applyBorder="1" applyAlignment="1">
      <alignment horizontal="center" vertical="center" wrapText="1"/>
    </xf>
    <xf numFmtId="0" fontId="17" fillId="14" borderId="26" xfId="0" applyFont="1" applyFill="1" applyBorder="1" applyAlignment="1">
      <alignment horizontal="left" vertical="center" wrapText="1"/>
    </xf>
    <xf numFmtId="0" fontId="47" fillId="23" borderId="26" xfId="5" applyFont="1" applyFill="1" applyBorder="1" applyAlignment="1">
      <alignment horizontal="center" vertical="center"/>
    </xf>
    <xf numFmtId="0" fontId="47" fillId="23" borderId="13" xfId="5" applyFont="1" applyFill="1"/>
    <xf numFmtId="169" fontId="21" fillId="15" borderId="26" xfId="0" applyNumberFormat="1" applyFont="1" applyFill="1" applyBorder="1" applyAlignment="1">
      <alignment horizontal="left" vertical="center" wrapText="1"/>
    </xf>
    <xf numFmtId="0" fontId="25" fillId="27" borderId="22" xfId="5" applyFont="1" applyFill="1" applyBorder="1" applyAlignment="1">
      <alignment horizontal="center" vertical="center" wrapText="1"/>
    </xf>
    <xf numFmtId="164" fontId="51" fillId="28" borderId="26" xfId="5" applyNumberFormat="1" applyFont="1" applyFill="1" applyBorder="1" applyAlignment="1">
      <alignment horizontal="left" vertical="center" wrapText="1"/>
    </xf>
    <xf numFmtId="0" fontId="42" fillId="0" borderId="0" xfId="0" applyFont="1"/>
    <xf numFmtId="0" fontId="19" fillId="22" borderId="13" xfId="0" applyFont="1" applyFill="1" applyBorder="1" applyAlignment="1">
      <alignment horizontal="center" vertical="center"/>
    </xf>
    <xf numFmtId="9" fontId="25" fillId="3" borderId="28" xfId="0" applyNumberFormat="1" applyFont="1" applyFill="1" applyBorder="1" applyAlignment="1">
      <alignment horizontal="center" vertical="center" wrapText="1"/>
    </xf>
    <xf numFmtId="0" fontId="47" fillId="0" borderId="26" xfId="5" applyFont="1" applyBorder="1" applyAlignment="1">
      <alignment horizontal="center" vertical="center"/>
    </xf>
    <xf numFmtId="0" fontId="25" fillId="0" borderId="22" xfId="5" applyFont="1" applyBorder="1" applyAlignment="1">
      <alignment horizontal="center" vertical="center" wrapText="1"/>
    </xf>
    <xf numFmtId="0" fontId="51" fillId="0" borderId="26" xfId="5" applyFont="1" applyBorder="1" applyAlignment="1">
      <alignment horizontal="left" vertical="center" wrapText="1"/>
    </xf>
    <xf numFmtId="164" fontId="51" fillId="0" borderId="26" xfId="5" applyNumberFormat="1" applyFont="1" applyBorder="1" applyAlignment="1">
      <alignment horizontal="left" vertical="center" wrapText="1"/>
    </xf>
    <xf numFmtId="6" fontId="52" fillId="0" borderId="26" xfId="5" applyNumberFormat="1" applyFont="1" applyBorder="1" applyAlignment="1">
      <alignment horizontal="center" vertical="center" wrapText="1"/>
    </xf>
    <xf numFmtId="167" fontId="51" fillId="0" borderId="26" xfId="5" applyNumberFormat="1" applyFont="1" applyBorder="1" applyAlignment="1">
      <alignment horizontal="center" vertical="center" wrapText="1"/>
    </xf>
    <xf numFmtId="167" fontId="53" fillId="0" borderId="26" xfId="5" applyNumberFormat="1" applyFont="1" applyBorder="1" applyAlignment="1">
      <alignment horizontal="center" vertical="center" wrapText="1"/>
    </xf>
    <xf numFmtId="9" fontId="53" fillId="0" borderId="26" xfId="6" applyFont="1" applyFill="1" applyBorder="1" applyAlignment="1">
      <alignment horizontal="center" vertical="center" wrapText="1"/>
    </xf>
    <xf numFmtId="164" fontId="53" fillId="0" borderId="26" xfId="5" applyNumberFormat="1" applyFont="1" applyBorder="1" applyAlignment="1">
      <alignment horizontal="center" vertical="center" wrapText="1"/>
    </xf>
    <xf numFmtId="44" fontId="23" fillId="3" borderId="12" xfId="0" applyNumberFormat="1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/>
    </xf>
    <xf numFmtId="6" fontId="18" fillId="3" borderId="26" xfId="0" applyNumberFormat="1" applyFont="1" applyFill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center" vertical="center" wrapText="1"/>
    </xf>
    <xf numFmtId="167" fontId="22" fillId="6" borderId="17" xfId="0" applyNumberFormat="1" applyFont="1" applyFill="1" applyBorder="1" applyAlignment="1">
      <alignment horizontal="center" vertical="center" wrapText="1"/>
    </xf>
    <xf numFmtId="167" fontId="10" fillId="0" borderId="14" xfId="0" applyNumberFormat="1" applyFont="1" applyBorder="1"/>
    <xf numFmtId="167" fontId="22" fillId="7" borderId="17" xfId="0" applyNumberFormat="1" applyFont="1" applyFill="1" applyBorder="1" applyAlignment="1">
      <alignment horizontal="center" vertical="center" wrapText="1"/>
    </xf>
    <xf numFmtId="9" fontId="17" fillId="3" borderId="26" xfId="0" applyNumberFormat="1" applyFont="1" applyFill="1" applyBorder="1" applyAlignment="1">
      <alignment horizontal="center" vertical="center" wrapText="1"/>
    </xf>
    <xf numFmtId="9" fontId="17" fillId="12" borderId="26" xfId="0" applyNumberFormat="1" applyFont="1" applyFill="1" applyBorder="1" applyAlignment="1">
      <alignment horizontal="center" vertical="center" wrapText="1"/>
    </xf>
    <xf numFmtId="9" fontId="17" fillId="12" borderId="26" xfId="0" applyNumberFormat="1" applyFont="1" applyFill="1" applyBorder="1" applyAlignment="1">
      <alignment horizontal="justify" vertical="center" wrapText="1"/>
    </xf>
    <xf numFmtId="6" fontId="18" fillId="3" borderId="26" xfId="0" applyNumberFormat="1" applyFont="1" applyFill="1" applyBorder="1" applyAlignment="1">
      <alignment horizontal="justify" vertical="center" wrapText="1"/>
    </xf>
    <xf numFmtId="164" fontId="26" fillId="2" borderId="1" xfId="0" applyNumberFormat="1" applyFont="1" applyFill="1" applyBorder="1" applyAlignment="1">
      <alignment horizontal="center" vertical="center" wrapText="1"/>
    </xf>
    <xf numFmtId="164" fontId="26" fillId="2" borderId="13" xfId="0" applyNumberFormat="1" applyFont="1" applyFill="1" applyBorder="1" applyAlignment="1">
      <alignment horizontal="center" vertical="center" wrapText="1"/>
    </xf>
    <xf numFmtId="0" fontId="10" fillId="0" borderId="2" xfId="0" applyFont="1" applyBorder="1"/>
    <xf numFmtId="0" fontId="10" fillId="0" borderId="13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14" fontId="27" fillId="2" borderId="4" xfId="0" applyNumberFormat="1" applyFont="1" applyFill="1" applyBorder="1" applyAlignment="1">
      <alignment horizontal="center" vertical="center" wrapText="1"/>
    </xf>
    <xf numFmtId="0" fontId="10" fillId="0" borderId="8" xfId="0" applyFont="1" applyBorder="1"/>
    <xf numFmtId="164" fontId="22" fillId="4" borderId="16" xfId="0" applyNumberFormat="1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vertical="center"/>
    </xf>
    <xf numFmtId="165" fontId="22" fillId="4" borderId="17" xfId="0" applyNumberFormat="1" applyFont="1" applyFill="1" applyBorder="1" applyAlignment="1">
      <alignment horizontal="center" vertical="center" wrapText="1"/>
    </xf>
    <xf numFmtId="0" fontId="10" fillId="0" borderId="14" xfId="0" applyFont="1" applyBorder="1"/>
    <xf numFmtId="14" fontId="22" fillId="5" borderId="17" xfId="0" applyNumberFormat="1" applyFont="1" applyFill="1" applyBorder="1" applyAlignment="1">
      <alignment horizontal="center" vertical="center" wrapText="1"/>
    </xf>
    <xf numFmtId="164" fontId="22" fillId="5" borderId="17" xfId="0" applyNumberFormat="1" applyFont="1" applyFill="1" applyBorder="1" applyAlignment="1">
      <alignment horizontal="center" vertical="center" wrapText="1"/>
    </xf>
    <xf numFmtId="10" fontId="14" fillId="8" borderId="21" xfId="0" applyNumberFormat="1" applyFont="1" applyFill="1" applyBorder="1" applyAlignment="1">
      <alignment horizontal="center"/>
    </xf>
    <xf numFmtId="10" fontId="14" fillId="8" borderId="15" xfId="0" applyNumberFormat="1" applyFont="1" applyFill="1" applyBorder="1" applyAlignment="1">
      <alignment horizontal="center"/>
    </xf>
    <xf numFmtId="164" fontId="22" fillId="7" borderId="17" xfId="0" applyNumberFormat="1" applyFont="1" applyFill="1" applyBorder="1" applyAlignment="1">
      <alignment horizontal="center" vertical="center" wrapText="1"/>
    </xf>
    <xf numFmtId="164" fontId="22" fillId="7" borderId="14" xfId="0" applyNumberFormat="1" applyFont="1" applyFill="1" applyBorder="1" applyAlignment="1">
      <alignment horizontal="center" vertical="center" wrapText="1"/>
    </xf>
    <xf numFmtId="164" fontId="22" fillId="4" borderId="17" xfId="0" applyNumberFormat="1" applyFont="1" applyFill="1" applyBorder="1" applyAlignment="1">
      <alignment horizontal="center" vertical="center" wrapText="1"/>
    </xf>
    <xf numFmtId="164" fontId="22" fillId="4" borderId="14" xfId="0" applyNumberFormat="1" applyFont="1" applyFill="1" applyBorder="1" applyAlignment="1">
      <alignment horizontal="center" vertical="center" wrapText="1"/>
    </xf>
    <xf numFmtId="6" fontId="18" fillId="12" borderId="26" xfId="0" applyNumberFormat="1" applyFont="1" applyFill="1" applyBorder="1" applyAlignment="1">
      <alignment horizontal="justify" vertical="center" wrapText="1"/>
    </xf>
    <xf numFmtId="167" fontId="13" fillId="6" borderId="17" xfId="0" applyNumberFormat="1" applyFont="1" applyFill="1" applyBorder="1" applyAlignment="1">
      <alignment horizontal="center" vertical="center" wrapText="1"/>
    </xf>
    <xf numFmtId="167" fontId="13" fillId="7" borderId="17" xfId="0" applyNumberFormat="1" applyFont="1" applyFill="1" applyBorder="1" applyAlignment="1">
      <alignment horizontal="center" vertical="center" wrapText="1"/>
    </xf>
    <xf numFmtId="164" fontId="13" fillId="7" borderId="18" xfId="0" applyNumberFormat="1" applyFont="1" applyFill="1" applyBorder="1" applyAlignment="1">
      <alignment horizontal="center" vertical="center" wrapText="1"/>
    </xf>
    <xf numFmtId="164" fontId="13" fillId="7" borderId="20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13" xfId="0" applyNumberFormat="1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9" fontId="17" fillId="3" borderId="22" xfId="0" applyNumberFormat="1" applyFont="1" applyFill="1" applyBorder="1" applyAlignment="1">
      <alignment horizontal="center" vertical="center" wrapText="1"/>
    </xf>
    <xf numFmtId="9" fontId="17" fillId="3" borderId="23" xfId="0" applyNumberFormat="1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164" fontId="13" fillId="4" borderId="16" xfId="0" applyNumberFormat="1" applyFont="1" applyFill="1" applyBorder="1" applyAlignment="1">
      <alignment horizontal="center" vertical="center" wrapText="1"/>
    </xf>
    <xf numFmtId="165" fontId="13" fillId="4" borderId="17" xfId="0" applyNumberFormat="1" applyFont="1" applyFill="1" applyBorder="1" applyAlignment="1">
      <alignment horizontal="center" vertical="center" wrapText="1"/>
    </xf>
    <xf numFmtId="14" fontId="13" fillId="5" borderId="17" xfId="0" applyNumberFormat="1" applyFont="1" applyFill="1" applyBorder="1" applyAlignment="1">
      <alignment horizontal="center" vertical="center" wrapText="1"/>
    </xf>
    <xf numFmtId="164" fontId="13" fillId="5" borderId="17" xfId="0" applyNumberFormat="1" applyFont="1" applyFill="1" applyBorder="1" applyAlignment="1">
      <alignment horizontal="center" vertical="center" wrapText="1"/>
    </xf>
    <xf numFmtId="164" fontId="13" fillId="4" borderId="17" xfId="0" applyNumberFormat="1" applyFont="1" applyFill="1" applyBorder="1" applyAlignment="1">
      <alignment horizontal="center" vertical="center" wrapText="1"/>
    </xf>
    <xf numFmtId="164" fontId="13" fillId="4" borderId="14" xfId="0" applyNumberFormat="1" applyFont="1" applyFill="1" applyBorder="1" applyAlignment="1">
      <alignment horizontal="center" vertical="center" wrapText="1"/>
    </xf>
    <xf numFmtId="6" fontId="18" fillId="12" borderId="26" xfId="0" applyNumberFormat="1" applyFont="1" applyFill="1" applyBorder="1" applyAlignment="1">
      <alignment horizontal="center" vertical="center" wrapText="1"/>
    </xf>
    <xf numFmtId="9" fontId="32" fillId="3" borderId="23" xfId="0" applyNumberFormat="1" applyFont="1" applyFill="1" applyBorder="1" applyAlignment="1">
      <alignment horizontal="center" vertical="center" wrapText="1"/>
    </xf>
    <xf numFmtId="9" fontId="17" fillId="3" borderId="22" xfId="0" applyNumberFormat="1" applyFont="1" applyFill="1" applyBorder="1" applyAlignment="1">
      <alignment horizontal="justify" vertical="center" wrapText="1"/>
    </xf>
    <xf numFmtId="9" fontId="32" fillId="3" borderId="23" xfId="0" applyNumberFormat="1" applyFont="1" applyFill="1" applyBorder="1" applyAlignment="1">
      <alignment horizontal="justify" vertical="center" wrapText="1"/>
    </xf>
    <xf numFmtId="9" fontId="14" fillId="8" borderId="21" xfId="0" applyNumberFormat="1" applyFont="1" applyFill="1" applyBorder="1" applyAlignment="1">
      <alignment horizontal="center"/>
    </xf>
    <xf numFmtId="9" fontId="14" fillId="8" borderId="15" xfId="0" applyNumberFormat="1" applyFont="1" applyFill="1" applyBorder="1" applyAlignment="1">
      <alignment horizontal="center"/>
    </xf>
    <xf numFmtId="9" fontId="17" fillId="3" borderId="23" xfId="0" applyNumberFormat="1" applyFont="1" applyFill="1" applyBorder="1" applyAlignment="1">
      <alignment horizontal="justify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9" fontId="32" fillId="12" borderId="26" xfId="0" applyNumberFormat="1" applyFont="1" applyFill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horizontal="center" vertical="center" wrapText="1"/>
    </xf>
    <xf numFmtId="164" fontId="24" fillId="2" borderId="13" xfId="0" applyNumberFormat="1" applyFont="1" applyFill="1" applyBorder="1" applyAlignment="1">
      <alignment horizontal="center" vertical="center" wrapText="1"/>
    </xf>
    <xf numFmtId="0" fontId="17" fillId="12" borderId="34" xfId="0" applyFont="1" applyFill="1" applyBorder="1" applyAlignment="1">
      <alignment horizontal="center" vertical="center" wrapText="1"/>
    </xf>
    <xf numFmtId="0" fontId="17" fillId="12" borderId="35" xfId="0" applyFont="1" applyFill="1" applyBorder="1" applyAlignment="1">
      <alignment horizontal="center" vertical="center" wrapText="1"/>
    </xf>
    <xf numFmtId="10" fontId="14" fillId="8" borderId="31" xfId="0" applyNumberFormat="1" applyFont="1" applyFill="1" applyBorder="1" applyAlignment="1">
      <alignment horizontal="center"/>
    </xf>
    <xf numFmtId="164" fontId="22" fillId="7" borderId="18" xfId="0" applyNumberFormat="1" applyFont="1" applyFill="1" applyBorder="1" applyAlignment="1">
      <alignment horizontal="center" vertical="center" wrapText="1"/>
    </xf>
    <xf numFmtId="164" fontId="22" fillId="7" borderId="20" xfId="0" applyNumberFormat="1" applyFont="1" applyFill="1" applyBorder="1" applyAlignment="1">
      <alignment horizontal="center" vertical="center" wrapText="1"/>
    </xf>
    <xf numFmtId="9" fontId="17" fillId="12" borderId="22" xfId="0" applyNumberFormat="1" applyFont="1" applyFill="1" applyBorder="1" applyAlignment="1">
      <alignment horizontal="center" vertical="center" wrapText="1"/>
    </xf>
    <xf numFmtId="9" fontId="17" fillId="12" borderId="23" xfId="0" applyNumberFormat="1" applyFont="1" applyFill="1" applyBorder="1" applyAlignment="1">
      <alignment horizontal="center" vertical="center" wrapText="1"/>
    </xf>
    <xf numFmtId="9" fontId="32" fillId="3" borderId="22" xfId="0" applyNumberFormat="1" applyFont="1" applyFill="1" applyBorder="1" applyAlignment="1">
      <alignment horizontal="center" vertical="center" wrapText="1"/>
    </xf>
    <xf numFmtId="9" fontId="32" fillId="12" borderId="22" xfId="0" applyNumberFormat="1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 vertical="center"/>
    </xf>
    <xf numFmtId="6" fontId="35" fillId="12" borderId="26" xfId="0" applyNumberFormat="1" applyFont="1" applyFill="1" applyBorder="1" applyAlignment="1">
      <alignment horizontal="justify" vertical="center" wrapText="1"/>
    </xf>
    <xf numFmtId="6" fontId="18" fillId="0" borderId="26" xfId="0" applyNumberFormat="1" applyFont="1" applyBorder="1" applyAlignment="1">
      <alignment horizontal="center" vertical="center" wrapText="1"/>
    </xf>
    <xf numFmtId="6" fontId="18" fillId="0" borderId="26" xfId="0" applyNumberFormat="1" applyFont="1" applyBorder="1" applyAlignment="1">
      <alignment horizontal="justify" vertical="center" wrapText="1"/>
    </xf>
    <xf numFmtId="0" fontId="16" fillId="11" borderId="26" xfId="0" applyFont="1" applyFill="1" applyBorder="1" applyAlignment="1">
      <alignment horizontal="center" vertical="center" wrapText="1"/>
    </xf>
    <xf numFmtId="9" fontId="17" fillId="13" borderId="22" xfId="0" applyNumberFormat="1" applyFont="1" applyFill="1" applyBorder="1" applyAlignment="1">
      <alignment horizontal="center" vertical="center"/>
    </xf>
    <xf numFmtId="9" fontId="17" fillId="13" borderId="23" xfId="0" applyNumberFormat="1" applyFont="1" applyFill="1" applyBorder="1" applyAlignment="1">
      <alignment horizontal="center" vertical="center"/>
    </xf>
    <xf numFmtId="0" fontId="14" fillId="8" borderId="21" xfId="0" applyFont="1" applyFill="1" applyBorder="1" applyAlignment="1">
      <alignment horizontal="center"/>
    </xf>
    <xf numFmtId="0" fontId="14" fillId="8" borderId="15" xfId="0" applyFont="1" applyFill="1" applyBorder="1" applyAlignment="1">
      <alignment horizontal="center"/>
    </xf>
    <xf numFmtId="6" fontId="18" fillId="12" borderId="34" xfId="0" applyNumberFormat="1" applyFont="1" applyFill="1" applyBorder="1" applyAlignment="1">
      <alignment horizontal="left" vertical="center" wrapText="1"/>
    </xf>
    <xf numFmtId="6" fontId="18" fillId="12" borderId="35" xfId="0" applyNumberFormat="1" applyFont="1" applyFill="1" applyBorder="1" applyAlignment="1">
      <alignment horizontal="left" vertical="center" wrapText="1"/>
    </xf>
    <xf numFmtId="6" fontId="18" fillId="3" borderId="34" xfId="0" applyNumberFormat="1" applyFont="1" applyFill="1" applyBorder="1" applyAlignment="1">
      <alignment horizontal="left" vertical="center" wrapText="1"/>
    </xf>
    <xf numFmtId="6" fontId="18" fillId="3" borderId="35" xfId="0" applyNumberFormat="1" applyFont="1" applyFill="1" applyBorder="1" applyAlignment="1">
      <alignment horizontal="left" vertical="center" wrapText="1"/>
    </xf>
    <xf numFmtId="6" fontId="18" fillId="3" borderId="34" xfId="0" applyNumberFormat="1" applyFont="1" applyFill="1" applyBorder="1" applyAlignment="1">
      <alignment horizontal="justify" vertical="center" wrapText="1"/>
    </xf>
    <xf numFmtId="6" fontId="18" fillId="3" borderId="35" xfId="0" applyNumberFormat="1" applyFont="1" applyFill="1" applyBorder="1" applyAlignment="1">
      <alignment horizontal="justify" vertical="center" wrapText="1"/>
    </xf>
    <xf numFmtId="14" fontId="27" fillId="2" borderId="0" xfId="0" applyNumberFormat="1" applyFont="1" applyFill="1" applyAlignment="1">
      <alignment horizontal="center" vertical="center" wrapText="1"/>
    </xf>
    <xf numFmtId="0" fontId="10" fillId="0" borderId="0" xfId="0" applyFont="1"/>
    <xf numFmtId="164" fontId="26" fillId="2" borderId="0" xfId="0" applyNumberFormat="1" applyFont="1" applyFill="1" applyAlignment="1">
      <alignment horizontal="center" vertical="center" wrapText="1"/>
    </xf>
    <xf numFmtId="6" fontId="18" fillId="12" borderId="34" xfId="0" applyNumberFormat="1" applyFont="1" applyFill="1" applyBorder="1" applyAlignment="1">
      <alignment horizontal="center" vertical="center" wrapText="1"/>
    </xf>
    <xf numFmtId="6" fontId="18" fillId="12" borderId="35" xfId="0" applyNumberFormat="1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17" fillId="23" borderId="26" xfId="0" applyFont="1" applyFill="1" applyBorder="1" applyAlignment="1">
      <alignment horizontal="left" vertical="center"/>
    </xf>
    <xf numFmtId="0" fontId="17" fillId="23" borderId="26" xfId="0" applyFont="1" applyFill="1" applyBorder="1" applyAlignment="1">
      <alignment horizontal="justify" vertical="center"/>
    </xf>
    <xf numFmtId="6" fontId="18" fillId="12" borderId="34" xfId="0" applyNumberFormat="1" applyFont="1" applyFill="1" applyBorder="1" applyAlignment="1">
      <alignment horizontal="justify" vertical="center" wrapText="1"/>
    </xf>
    <xf numFmtId="6" fontId="18" fillId="12" borderId="35" xfId="0" applyNumberFormat="1" applyFont="1" applyFill="1" applyBorder="1" applyAlignment="1">
      <alignment horizontal="justify" vertical="center" wrapText="1"/>
    </xf>
    <xf numFmtId="0" fontId="15" fillId="9" borderId="28" xfId="0" applyFont="1" applyFill="1" applyBorder="1" applyAlignment="1">
      <alignment horizontal="center" vertical="center" wrapText="1"/>
    </xf>
    <xf numFmtId="6" fontId="17" fillId="12" borderId="26" xfId="0" applyNumberFormat="1" applyFont="1" applyFill="1" applyBorder="1" applyAlignment="1">
      <alignment horizontal="justify" vertical="center" wrapText="1"/>
    </xf>
    <xf numFmtId="6" fontId="17" fillId="0" borderId="26" xfId="0" applyNumberFormat="1" applyFont="1" applyBorder="1" applyAlignment="1">
      <alignment horizontal="justify" vertical="center" wrapText="1"/>
    </xf>
    <xf numFmtId="0" fontId="1" fillId="23" borderId="26" xfId="0" applyFont="1" applyFill="1" applyBorder="1" applyAlignment="1">
      <alignment horizontal="left" vertical="center" wrapText="1"/>
    </xf>
    <xf numFmtId="0" fontId="8" fillId="23" borderId="26" xfId="0" applyFont="1" applyFill="1" applyBorder="1" applyAlignment="1">
      <alignment horizontal="left" vertical="center" wrapText="1"/>
    </xf>
    <xf numFmtId="6" fontId="18" fillId="22" borderId="26" xfId="0" applyNumberFormat="1" applyFont="1" applyFill="1" applyBorder="1" applyAlignment="1">
      <alignment horizontal="justify" vertical="center" wrapText="1"/>
    </xf>
    <xf numFmtId="0" fontId="5" fillId="23" borderId="26" xfId="0" applyFont="1" applyFill="1" applyBorder="1" applyAlignment="1">
      <alignment horizontal="left" vertical="center" wrapText="1"/>
    </xf>
    <xf numFmtId="6" fontId="18" fillId="3" borderId="26" xfId="0" applyNumberFormat="1" applyFont="1" applyFill="1" applyBorder="1" applyAlignment="1">
      <alignment horizontal="left" vertical="center" wrapText="1"/>
    </xf>
    <xf numFmtId="6" fontId="18" fillId="12" borderId="26" xfId="0" applyNumberFormat="1" applyFont="1" applyFill="1" applyBorder="1" applyAlignment="1">
      <alignment horizontal="left" vertical="center" wrapText="1"/>
    </xf>
    <xf numFmtId="6" fontId="18" fillId="12" borderId="28" xfId="0" applyNumberFormat="1" applyFont="1" applyFill="1" applyBorder="1" applyAlignment="1">
      <alignment horizontal="left" vertical="center" wrapText="1"/>
    </xf>
    <xf numFmtId="0" fontId="17" fillId="13" borderId="26" xfId="0" applyFont="1" applyFill="1" applyBorder="1" applyAlignment="1">
      <alignment horizontal="center" vertical="center" wrapText="1"/>
    </xf>
    <xf numFmtId="6" fontId="17" fillId="12" borderId="28" xfId="0" applyNumberFormat="1" applyFont="1" applyFill="1" applyBorder="1" applyAlignment="1">
      <alignment horizontal="justify" vertical="center" wrapText="1"/>
    </xf>
    <xf numFmtId="6" fontId="18" fillId="12" borderId="28" xfId="0" applyNumberFormat="1" applyFont="1" applyFill="1" applyBorder="1" applyAlignment="1">
      <alignment horizontal="justify" vertical="center" wrapText="1"/>
    </xf>
    <xf numFmtId="6" fontId="18" fillId="3" borderId="28" xfId="0" applyNumberFormat="1" applyFont="1" applyFill="1" applyBorder="1" applyAlignment="1">
      <alignment horizontal="justify" vertical="center" wrapText="1"/>
    </xf>
    <xf numFmtId="14" fontId="27" fillId="2" borderId="13" xfId="5" applyNumberFormat="1" applyFont="1" applyFill="1" applyAlignment="1">
      <alignment horizontal="center" vertical="center" wrapText="1"/>
    </xf>
    <xf numFmtId="0" fontId="10" fillId="0" borderId="13" xfId="5" applyFont="1"/>
    <xf numFmtId="164" fontId="22" fillId="4" borderId="16" xfId="5" applyNumberFormat="1" applyFont="1" applyFill="1" applyBorder="1" applyAlignment="1">
      <alignment horizontal="center" vertical="center" wrapText="1"/>
    </xf>
    <xf numFmtId="0" fontId="10" fillId="0" borderId="19" xfId="5" applyFont="1" applyBorder="1" applyAlignment="1">
      <alignment vertical="center"/>
    </xf>
    <xf numFmtId="164" fontId="22" fillId="4" borderId="17" xfId="5" applyNumberFormat="1" applyFont="1" applyFill="1" applyBorder="1" applyAlignment="1">
      <alignment horizontal="center" vertical="center" wrapText="1"/>
    </xf>
    <xf numFmtId="164" fontId="22" fillId="4" borderId="14" xfId="5" applyNumberFormat="1" applyFont="1" applyFill="1" applyBorder="1" applyAlignment="1">
      <alignment horizontal="center" vertical="center" wrapText="1"/>
    </xf>
    <xf numFmtId="165" fontId="49" fillId="4" borderId="17" xfId="5" applyNumberFormat="1" applyFont="1" applyFill="1" applyBorder="1" applyAlignment="1">
      <alignment horizontal="center" vertical="center" wrapText="1"/>
    </xf>
    <xf numFmtId="0" fontId="46" fillId="0" borderId="14" xfId="5" applyFont="1" applyBorder="1"/>
    <xf numFmtId="14" fontId="49" fillId="5" borderId="17" xfId="5" applyNumberFormat="1" applyFont="1" applyFill="1" applyBorder="1" applyAlignment="1">
      <alignment horizontal="center" vertical="center" wrapText="1"/>
    </xf>
    <xf numFmtId="164" fontId="49" fillId="5" borderId="17" xfId="5" applyNumberFormat="1" applyFont="1" applyFill="1" applyBorder="1" applyAlignment="1">
      <alignment horizontal="center" vertical="center" wrapText="1"/>
    </xf>
    <xf numFmtId="164" fontId="49" fillId="5" borderId="14" xfId="5" applyNumberFormat="1" applyFont="1" applyFill="1" applyBorder="1" applyAlignment="1">
      <alignment horizontal="center" vertical="center" wrapText="1"/>
    </xf>
    <xf numFmtId="167" fontId="49" fillId="6" borderId="17" xfId="5" applyNumberFormat="1" applyFont="1" applyFill="1" applyBorder="1" applyAlignment="1">
      <alignment horizontal="center" vertical="center" wrapText="1"/>
    </xf>
    <xf numFmtId="167" fontId="46" fillId="0" borderId="14" xfId="5" applyNumberFormat="1" applyFont="1" applyBorder="1"/>
    <xf numFmtId="0" fontId="62" fillId="8" borderId="44" xfId="5" applyFont="1" applyFill="1" applyBorder="1" applyAlignment="1">
      <alignment horizontal="center"/>
    </xf>
    <xf numFmtId="0" fontId="62" fillId="8" borderId="45" xfId="5" applyFont="1" applyFill="1" applyBorder="1" applyAlignment="1">
      <alignment horizontal="center"/>
    </xf>
    <xf numFmtId="9" fontId="50" fillId="8" borderId="31" xfId="5" applyNumberFormat="1" applyFont="1" applyFill="1" applyBorder="1" applyAlignment="1">
      <alignment horizontal="center"/>
    </xf>
    <xf numFmtId="9" fontId="50" fillId="8" borderId="15" xfId="5" applyNumberFormat="1" applyFont="1" applyFill="1" applyBorder="1" applyAlignment="1">
      <alignment horizontal="center"/>
    </xf>
    <xf numFmtId="167" fontId="47" fillId="20" borderId="43" xfId="5" applyNumberFormat="1" applyFont="1" applyFill="1" applyBorder="1" applyAlignment="1">
      <alignment horizontal="center"/>
    </xf>
    <xf numFmtId="167" fontId="49" fillId="7" borderId="17" xfId="5" applyNumberFormat="1" applyFont="1" applyFill="1" applyBorder="1" applyAlignment="1">
      <alignment horizontal="center" vertical="center" wrapText="1"/>
    </xf>
    <xf numFmtId="164" fontId="26" fillId="2" borderId="13" xfId="5" applyNumberFormat="1" applyFont="1" applyFill="1" applyAlignment="1">
      <alignment horizontal="center" vertical="center" wrapText="1"/>
    </xf>
    <xf numFmtId="167" fontId="58" fillId="7" borderId="17" xfId="0" applyNumberFormat="1" applyFont="1" applyFill="1" applyBorder="1" applyAlignment="1">
      <alignment horizontal="center" vertical="center" wrapText="1"/>
    </xf>
    <xf numFmtId="164" fontId="58" fillId="4" borderId="16" xfId="0" applyNumberFormat="1" applyFont="1" applyFill="1" applyBorder="1" applyAlignment="1">
      <alignment horizontal="center" vertical="center" wrapText="1"/>
    </xf>
    <xf numFmtId="165" fontId="58" fillId="4" borderId="17" xfId="0" applyNumberFormat="1" applyFont="1" applyFill="1" applyBorder="1" applyAlignment="1">
      <alignment horizontal="center" vertical="center" wrapText="1"/>
    </xf>
    <xf numFmtId="14" fontId="58" fillId="5" borderId="17" xfId="0" applyNumberFormat="1" applyFont="1" applyFill="1" applyBorder="1" applyAlignment="1">
      <alignment horizontal="center" vertical="center" wrapText="1"/>
    </xf>
    <xf numFmtId="164" fontId="58" fillId="5" borderId="17" xfId="0" applyNumberFormat="1" applyFont="1" applyFill="1" applyBorder="1" applyAlignment="1">
      <alignment horizontal="center" vertical="center" wrapText="1"/>
    </xf>
    <xf numFmtId="167" fontId="58" fillId="6" borderId="17" xfId="0" applyNumberFormat="1" applyFont="1" applyFill="1" applyBorder="1" applyAlignment="1">
      <alignment horizontal="center" vertical="center" wrapText="1"/>
    </xf>
    <xf numFmtId="164" fontId="58" fillId="4" borderId="17" xfId="0" applyNumberFormat="1" applyFont="1" applyFill="1" applyBorder="1" applyAlignment="1">
      <alignment horizontal="center" vertical="center" wrapText="1"/>
    </xf>
    <xf numFmtId="164" fontId="58" fillId="4" borderId="14" xfId="0" applyNumberFormat="1" applyFont="1" applyFill="1" applyBorder="1" applyAlignment="1">
      <alignment horizontal="center" vertical="center" wrapText="1"/>
    </xf>
    <xf numFmtId="9" fontId="17" fillId="13" borderId="26" xfId="0" applyNumberFormat="1" applyFont="1" applyFill="1" applyBorder="1" applyAlignment="1">
      <alignment horizontal="center" vertical="center" wrapText="1"/>
    </xf>
    <xf numFmtId="6" fontId="17" fillId="12" borderId="39" xfId="0" applyNumberFormat="1" applyFont="1" applyFill="1" applyBorder="1" applyAlignment="1">
      <alignment horizontal="justify" vertical="center" wrapText="1"/>
    </xf>
    <xf numFmtId="6" fontId="17" fillId="12" borderId="40" xfId="0" applyNumberFormat="1" applyFont="1" applyFill="1" applyBorder="1" applyAlignment="1">
      <alignment horizontal="justify" vertical="center" wrapText="1"/>
    </xf>
    <xf numFmtId="0" fontId="57" fillId="17" borderId="26" xfId="3" applyFont="1" applyBorder="1" applyAlignment="1">
      <alignment horizontal="center"/>
    </xf>
  </cellXfs>
  <cellStyles count="10">
    <cellStyle name="Énfasis1" xfId="2" builtinId="29"/>
    <cellStyle name="Énfasis2" xfId="3" builtinId="33"/>
    <cellStyle name="Moneda" xfId="4" builtinId="4"/>
    <cellStyle name="Moneda 2" xfId="7" xr:uid="{226D26A1-1CCF-45F9-AF21-2C62910D7887}"/>
    <cellStyle name="Normal" xfId="0" builtinId="0"/>
    <cellStyle name="Normal 2" xfId="5" xr:uid="{1EB34CBF-D034-46DB-833D-7151CF1F6ADB}"/>
    <cellStyle name="Normal 2 3" xfId="8" xr:uid="{45E6292C-AE03-4091-B325-87B2D0C2C9D5}"/>
    <cellStyle name="Normal 3" xfId="9" xr:uid="{AF04B57A-F5DE-4C3C-A767-380C471FD913}"/>
    <cellStyle name="Porcentaje" xfId="1" builtinId="5"/>
    <cellStyle name="Porcentaje 2" xfId="6" xr:uid="{52125483-87DF-4B0B-85CF-30CE5168E1E7}"/>
  </cellStyles>
  <dxfs count="20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theme="8" tint="0.59996337778862885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theme="5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9" formatCode="_-&quot;$&quot;* #,##0_-;\-&quot;$&quot;* #,##0_-;_-&quot;$&quot;* &quot;-&quot;??_-;_-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8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8" formatCode="&quot;$&quot;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8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&quot;$&quot;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GENERAL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2400">
                <a:solidFill>
                  <a:schemeClr val="tx1"/>
                </a:solidFill>
              </a:rPr>
              <a:t>APORTACIÓN Y RECUPERACIÓN</a:t>
            </a:r>
            <a:r>
              <a:rPr lang="es-MX" sz="2400" baseline="0">
                <a:solidFill>
                  <a:schemeClr val="tx1"/>
                </a:solidFill>
              </a:rPr>
              <a:t> POR MUNICIPIO</a:t>
            </a:r>
            <a:endParaRPr lang="es-MX" sz="2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3210482197578701E-2"/>
          <c:y val="0.11063529411764705"/>
          <c:w val="0.89719091396297979"/>
          <c:h val="0.708880901651999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GENERAL!$B$2</c:f>
              <c:strCache>
                <c:ptCount val="1"/>
                <c:pt idx="0">
                  <c:v>APORTACIÓN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GENERAL!$A$3:$A$22</c:f>
              <c:strCache>
                <c:ptCount val="20"/>
                <c:pt idx="0">
                  <c:v>BALANCÁN</c:v>
                </c:pt>
                <c:pt idx="1">
                  <c:v>CENTLA</c:v>
                </c:pt>
                <c:pt idx="2">
                  <c:v>COMALCALCO</c:v>
                </c:pt>
                <c:pt idx="3">
                  <c:v>DURANGO</c:v>
                </c:pt>
                <c:pt idx="4">
                  <c:v>ENSENADA</c:v>
                </c:pt>
                <c:pt idx="5">
                  <c:v>JALAPA</c:v>
                </c:pt>
                <c:pt idx="6">
                  <c:v>JALPA DE MENDEZ</c:v>
                </c:pt>
                <c:pt idx="7">
                  <c:v>JONUTA</c:v>
                </c:pt>
                <c:pt idx="8">
                  <c:v>MÉRIDA</c:v>
                </c:pt>
                <c:pt idx="9">
                  <c:v>NACAJUCA</c:v>
                </c:pt>
                <c:pt idx="10">
                  <c:v>NAUCALPAN</c:v>
                </c:pt>
                <c:pt idx="11">
                  <c:v>PARAISO</c:v>
                </c:pt>
                <c:pt idx="12">
                  <c:v>PICHUCALCO</c:v>
                </c:pt>
                <c:pt idx="13">
                  <c:v>PLAYA DEL CARMEN</c:v>
                </c:pt>
                <c:pt idx="14">
                  <c:v>TUXTLA</c:v>
                </c:pt>
                <c:pt idx="15">
                  <c:v>TEAPA</c:v>
                </c:pt>
                <c:pt idx="16">
                  <c:v>TULUM</c:v>
                </c:pt>
                <c:pt idx="17">
                  <c:v>XOCHIMILCO</c:v>
                </c:pt>
                <c:pt idx="18">
                  <c:v>VERACRUZ</c:v>
                </c:pt>
                <c:pt idx="19">
                  <c:v>ZITACUARO</c:v>
                </c:pt>
              </c:strCache>
            </c:strRef>
          </c:cat>
          <c:val>
            <c:numRef>
              <c:f>GENERAL!$B$3:$B$22</c:f>
              <c:numCache>
                <c:formatCode>"$"#,##0</c:formatCode>
                <c:ptCount val="20"/>
                <c:pt idx="0">
                  <c:v>1000000</c:v>
                </c:pt>
                <c:pt idx="1">
                  <c:v>3000000</c:v>
                </c:pt>
                <c:pt idx="2">
                  <c:v>53000</c:v>
                </c:pt>
                <c:pt idx="3">
                  <c:v>5000000</c:v>
                </c:pt>
                <c:pt idx="4">
                  <c:v>0</c:v>
                </c:pt>
                <c:pt idx="5">
                  <c:v>900000</c:v>
                </c:pt>
                <c:pt idx="6">
                  <c:v>1500000</c:v>
                </c:pt>
                <c:pt idx="7">
                  <c:v>1575000</c:v>
                </c:pt>
                <c:pt idx="8">
                  <c:v>2000000</c:v>
                </c:pt>
                <c:pt idx="9">
                  <c:v>0</c:v>
                </c:pt>
                <c:pt idx="10">
                  <c:v>3000000</c:v>
                </c:pt>
                <c:pt idx="11">
                  <c:v>0</c:v>
                </c:pt>
                <c:pt idx="12">
                  <c:v>3000000</c:v>
                </c:pt>
                <c:pt idx="13">
                  <c:v>6000000</c:v>
                </c:pt>
                <c:pt idx="14">
                  <c:v>3500000</c:v>
                </c:pt>
                <c:pt idx="15">
                  <c:v>5240000</c:v>
                </c:pt>
                <c:pt idx="16">
                  <c:v>1500000</c:v>
                </c:pt>
                <c:pt idx="17">
                  <c:v>4000000</c:v>
                </c:pt>
                <c:pt idx="18">
                  <c:v>13790000</c:v>
                </c:pt>
                <c:pt idx="19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E-4B5C-8D40-A46C3470FFBB}"/>
            </c:ext>
          </c:extLst>
        </c:ser>
        <c:ser>
          <c:idx val="1"/>
          <c:order val="1"/>
          <c:tx>
            <c:strRef>
              <c:f>GENERAL!$C$2</c:f>
              <c:strCache>
                <c:ptCount val="1"/>
                <c:pt idx="0">
                  <c:v>RECUPERADO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GENERAL!$A$3:$A$22</c:f>
              <c:strCache>
                <c:ptCount val="20"/>
                <c:pt idx="0">
                  <c:v>BALANCÁN</c:v>
                </c:pt>
                <c:pt idx="1">
                  <c:v>CENTLA</c:v>
                </c:pt>
                <c:pt idx="2">
                  <c:v>COMALCALCO</c:v>
                </c:pt>
                <c:pt idx="3">
                  <c:v>DURANGO</c:v>
                </c:pt>
                <c:pt idx="4">
                  <c:v>ENSENADA</c:v>
                </c:pt>
                <c:pt idx="5">
                  <c:v>JALAPA</c:v>
                </c:pt>
                <c:pt idx="6">
                  <c:v>JALPA DE MENDEZ</c:v>
                </c:pt>
                <c:pt idx="7">
                  <c:v>JONUTA</c:v>
                </c:pt>
                <c:pt idx="8">
                  <c:v>MÉRIDA</c:v>
                </c:pt>
                <c:pt idx="9">
                  <c:v>NACAJUCA</c:v>
                </c:pt>
                <c:pt idx="10">
                  <c:v>NAUCALPAN</c:v>
                </c:pt>
                <c:pt idx="11">
                  <c:v>PARAISO</c:v>
                </c:pt>
                <c:pt idx="12">
                  <c:v>PICHUCALCO</c:v>
                </c:pt>
                <c:pt idx="13">
                  <c:v>PLAYA DEL CARMEN</c:v>
                </c:pt>
                <c:pt idx="14">
                  <c:v>TUXTLA</c:v>
                </c:pt>
                <c:pt idx="15">
                  <c:v>TEAPA</c:v>
                </c:pt>
                <c:pt idx="16">
                  <c:v>TULUM</c:v>
                </c:pt>
                <c:pt idx="17">
                  <c:v>XOCHIMILCO</c:v>
                </c:pt>
                <c:pt idx="18">
                  <c:v>VERACRUZ</c:v>
                </c:pt>
                <c:pt idx="19">
                  <c:v>ZITACUARO</c:v>
                </c:pt>
              </c:strCache>
            </c:strRef>
          </c:cat>
          <c:val>
            <c:numRef>
              <c:f>GENERAL!$C$3:$C$22</c:f>
              <c:numCache>
                <c:formatCode>"$"#,##0</c:formatCode>
                <c:ptCount val="20"/>
                <c:pt idx="0">
                  <c:v>289151.78000000003</c:v>
                </c:pt>
                <c:pt idx="1">
                  <c:v>2942133.0961934049</c:v>
                </c:pt>
                <c:pt idx="2">
                  <c:v>169907.38</c:v>
                </c:pt>
                <c:pt idx="3">
                  <c:v>0</c:v>
                </c:pt>
                <c:pt idx="4">
                  <c:v>0</c:v>
                </c:pt>
                <c:pt idx="5">
                  <c:v>413263.04</c:v>
                </c:pt>
                <c:pt idx="6">
                  <c:v>1973619.037</c:v>
                </c:pt>
                <c:pt idx="7">
                  <c:v>1256360.2339999999</c:v>
                </c:pt>
                <c:pt idx="8">
                  <c:v>5032722.115602199</c:v>
                </c:pt>
                <c:pt idx="9">
                  <c:v>0</c:v>
                </c:pt>
                <c:pt idx="10">
                  <c:v>10742197.02</c:v>
                </c:pt>
                <c:pt idx="11">
                  <c:v>0</c:v>
                </c:pt>
                <c:pt idx="12">
                  <c:v>2636541.922890807</c:v>
                </c:pt>
                <c:pt idx="13">
                  <c:v>4353853.6174999997</c:v>
                </c:pt>
                <c:pt idx="14">
                  <c:v>4536746.5475137932</c:v>
                </c:pt>
                <c:pt idx="15">
                  <c:v>6934692.0592421535</c:v>
                </c:pt>
                <c:pt idx="16">
                  <c:v>0</c:v>
                </c:pt>
                <c:pt idx="17">
                  <c:v>6846881.5450000009</c:v>
                </c:pt>
                <c:pt idx="18">
                  <c:v>2067853.8996446179</c:v>
                </c:pt>
                <c:pt idx="19">
                  <c:v>411623.55908045976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E-4B5C-8D40-A46C3470F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245553679"/>
        <c:axId val="245555343"/>
      </c:barChart>
      <c:catAx>
        <c:axId val="2455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555343"/>
        <c:crosses val="autoZero"/>
        <c:auto val="1"/>
        <c:lblAlgn val="ctr"/>
        <c:lblOffset val="100"/>
        <c:noMultiLvlLbl val="0"/>
      </c:catAx>
      <c:valAx>
        <c:axId val="24555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55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82986817659028"/>
          <c:y val="0.95173179515351281"/>
          <c:w val="0.40405985900977037"/>
          <c:h val="3.2162420873861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tx1"/>
                </a:solidFill>
              </a:rPr>
              <a:t>PENDIENTE POR RECUPERAR Y UTILIDAD ESPERADA POR MUNICIPIO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5322599730282332"/>
          <c:y val="0.11509126213592234"/>
          <c:w val="0.80946465393483269"/>
          <c:h val="0.692173381239966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GENERAL!$D$2</c:f>
              <c:strCache>
                <c:ptCount val="1"/>
                <c:pt idx="0">
                  <c:v>PENDIENTE DE RECUPERAR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GENERAL!$A$3:$A$22</c:f>
              <c:strCache>
                <c:ptCount val="20"/>
                <c:pt idx="0">
                  <c:v>BALANCÁN</c:v>
                </c:pt>
                <c:pt idx="1">
                  <c:v>CENTLA</c:v>
                </c:pt>
                <c:pt idx="2">
                  <c:v>COMALCALCO</c:v>
                </c:pt>
                <c:pt idx="3">
                  <c:v>DURANGO</c:v>
                </c:pt>
                <c:pt idx="4">
                  <c:v>ENSENADA</c:v>
                </c:pt>
                <c:pt idx="5">
                  <c:v>JALAPA</c:v>
                </c:pt>
                <c:pt idx="6">
                  <c:v>JALPA DE MENDEZ</c:v>
                </c:pt>
                <c:pt idx="7">
                  <c:v>JONUTA</c:v>
                </c:pt>
                <c:pt idx="8">
                  <c:v>MÉRIDA</c:v>
                </c:pt>
                <c:pt idx="9">
                  <c:v>NACAJUCA</c:v>
                </c:pt>
                <c:pt idx="10">
                  <c:v>NAUCALPAN</c:v>
                </c:pt>
                <c:pt idx="11">
                  <c:v>PARAISO</c:v>
                </c:pt>
                <c:pt idx="12">
                  <c:v>PICHUCALCO</c:v>
                </c:pt>
                <c:pt idx="13">
                  <c:v>PLAYA DEL CARMEN</c:v>
                </c:pt>
                <c:pt idx="14">
                  <c:v>TUXTLA</c:v>
                </c:pt>
                <c:pt idx="15">
                  <c:v>TEAPA</c:v>
                </c:pt>
                <c:pt idx="16">
                  <c:v>TULUM</c:v>
                </c:pt>
                <c:pt idx="17">
                  <c:v>XOCHIMILCO</c:v>
                </c:pt>
                <c:pt idx="18">
                  <c:v>VERACRUZ</c:v>
                </c:pt>
                <c:pt idx="19">
                  <c:v>ZITACUARO</c:v>
                </c:pt>
              </c:strCache>
            </c:strRef>
          </c:cat>
          <c:val>
            <c:numRef>
              <c:f>GENERAL!$D$3:$D$22</c:f>
              <c:numCache>
                <c:formatCode>"$"#,##0</c:formatCode>
                <c:ptCount val="20"/>
                <c:pt idx="0">
                  <c:v>710848.22</c:v>
                </c:pt>
                <c:pt idx="1">
                  <c:v>57866.903806595132</c:v>
                </c:pt>
                <c:pt idx="2">
                  <c:v>0</c:v>
                </c:pt>
                <c:pt idx="3">
                  <c:v>5000000</c:v>
                </c:pt>
                <c:pt idx="5">
                  <c:v>486736.96</c:v>
                </c:pt>
                <c:pt idx="7">
                  <c:v>318639.76600000006</c:v>
                </c:pt>
                <c:pt idx="12">
                  <c:v>363458.07710919296</c:v>
                </c:pt>
                <c:pt idx="13">
                  <c:v>1646146.3825000003</c:v>
                </c:pt>
                <c:pt idx="16">
                  <c:v>1500000</c:v>
                </c:pt>
                <c:pt idx="18">
                  <c:v>11722146.100355383</c:v>
                </c:pt>
                <c:pt idx="19">
                  <c:v>1588376.4409195404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E-48EF-B78A-66BDCB32E936}"/>
            </c:ext>
          </c:extLst>
        </c:ser>
        <c:ser>
          <c:idx val="1"/>
          <c:order val="1"/>
          <c:tx>
            <c:strRef>
              <c:f>GENERAL!$G$2</c:f>
              <c:strCache>
                <c:ptCount val="1"/>
                <c:pt idx="0">
                  <c:v>UTILIDAD COBRADA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GENERAL!$A$3:$A$22</c:f>
              <c:strCache>
                <c:ptCount val="20"/>
                <c:pt idx="0">
                  <c:v>BALANCÁN</c:v>
                </c:pt>
                <c:pt idx="1">
                  <c:v>CENTLA</c:v>
                </c:pt>
                <c:pt idx="2">
                  <c:v>COMALCALCO</c:v>
                </c:pt>
                <c:pt idx="3">
                  <c:v>DURANGO</c:v>
                </c:pt>
                <c:pt idx="4">
                  <c:v>ENSENADA</c:v>
                </c:pt>
                <c:pt idx="5">
                  <c:v>JALAPA</c:v>
                </c:pt>
                <c:pt idx="6">
                  <c:v>JALPA DE MENDEZ</c:v>
                </c:pt>
                <c:pt idx="7">
                  <c:v>JONUTA</c:v>
                </c:pt>
                <c:pt idx="8">
                  <c:v>MÉRIDA</c:v>
                </c:pt>
                <c:pt idx="9">
                  <c:v>NACAJUCA</c:v>
                </c:pt>
                <c:pt idx="10">
                  <c:v>NAUCALPAN</c:v>
                </c:pt>
                <c:pt idx="11">
                  <c:v>PARAISO</c:v>
                </c:pt>
                <c:pt idx="12">
                  <c:v>PICHUCALCO</c:v>
                </c:pt>
                <c:pt idx="13">
                  <c:v>PLAYA DEL CARMEN</c:v>
                </c:pt>
                <c:pt idx="14">
                  <c:v>TUXTLA</c:v>
                </c:pt>
                <c:pt idx="15">
                  <c:v>TEAPA</c:v>
                </c:pt>
                <c:pt idx="16">
                  <c:v>TULUM</c:v>
                </c:pt>
                <c:pt idx="17">
                  <c:v>XOCHIMILCO</c:v>
                </c:pt>
                <c:pt idx="18">
                  <c:v>VERACRUZ</c:v>
                </c:pt>
                <c:pt idx="19">
                  <c:v>ZITACUARO</c:v>
                </c:pt>
              </c:strCache>
            </c:strRef>
          </c:cat>
          <c:val>
            <c:numRef>
              <c:f>GENERAL!$G$3:$G$22</c:f>
              <c:numCache>
                <c:formatCode>"$"#,##0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116907.38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473619.03700000001</c:v>
                </c:pt>
                <c:pt idx="7">
                  <c:v>0</c:v>
                </c:pt>
                <c:pt idx="8">
                  <c:v>3032722.115602199</c:v>
                </c:pt>
                <c:pt idx="9">
                  <c:v>1095045.03</c:v>
                </c:pt>
                <c:pt idx="10">
                  <c:v>7742196.0199999996</c:v>
                </c:pt>
                <c:pt idx="11">
                  <c:v>4425683.1783848284</c:v>
                </c:pt>
                <c:pt idx="12">
                  <c:v>0</c:v>
                </c:pt>
                <c:pt idx="13">
                  <c:v>0</c:v>
                </c:pt>
                <c:pt idx="14">
                  <c:v>1036746.5475137932</c:v>
                </c:pt>
                <c:pt idx="15">
                  <c:v>1694692.0592421535</c:v>
                </c:pt>
                <c:pt idx="16">
                  <c:v>0</c:v>
                </c:pt>
                <c:pt idx="17">
                  <c:v>2846881.5450000009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E-48EF-B78A-66BDCB32E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62969279"/>
        <c:axId val="1362965535"/>
      </c:barChart>
      <c:catAx>
        <c:axId val="136296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2965535"/>
        <c:crosses val="autoZero"/>
        <c:auto val="1"/>
        <c:lblAlgn val="ctr"/>
        <c:lblOffset val="100"/>
        <c:noMultiLvlLbl val="0"/>
      </c:catAx>
      <c:valAx>
        <c:axId val="136296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6296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14482880651152"/>
          <c:y val="0.90777132267637828"/>
          <c:w val="0.44262439957366345"/>
          <c:h val="4.12306480253306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635000</xdr:colOff>
      <xdr:row>44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61A421-DD8F-42AF-BDD2-E90D5E51C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0</xdr:row>
      <xdr:rowOff>190499</xdr:rowOff>
    </xdr:from>
    <xdr:to>
      <xdr:col>29</xdr:col>
      <xdr:colOff>682625</xdr:colOff>
      <xdr:row>43</xdr:row>
      <xdr:rowOff>31750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D3A749-15DA-4C98-9147-FD47FD4B4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AURA%20LEON%20PC\INVERSIONES%20MAS%20FONDOS\CORRIDA%20FINANCIERA%20ARRND.%20SEDAN%20Y%20CAMIONETAS%20TEAPA.xlsx" TargetMode="External"/><Relationship Id="rId1" Type="http://schemas.openxmlformats.org/officeDocument/2006/relationships/externalLinkPath" Target="file:///E:\LAURA%20LEON%20PC\INVERSIONES%20MAS%20FONDOS\CORRIDA%20FINANCIERA%20ARRND.%20SEDAN%20Y%20CAMIONETAS%20TEA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 (2)"/>
      <sheetName val="Hoja1"/>
      <sheetName val="Hoja4"/>
      <sheetName val="Hoja2"/>
      <sheetName val="resumen todas"/>
    </sheetNames>
    <sheetDataSet>
      <sheetData sheetId="0">
        <row r="44">
          <cell r="L44">
            <v>369976.2</v>
          </cell>
        </row>
        <row r="70">
          <cell r="L70">
            <v>279206.2</v>
          </cell>
        </row>
      </sheetData>
      <sheetData sheetId="1" refreshError="1"/>
      <sheetData sheetId="2" refreshError="1"/>
      <sheetData sheetId="3" refreshError="1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I23" headerRowDxfId="16" totalsRowDxfId="15" headerRowCellStyle="Énfasis1">
  <tableColumns count="9">
    <tableColumn id="1" xr3:uid="{00000000-0010-0000-0000-000001000000}" name="MUNICIPIO" dataDxfId="14"/>
    <tableColumn id="2" xr3:uid="{00000000-0010-0000-0000-000002000000}" name="APORTACIÓN" dataDxfId="13"/>
    <tableColumn id="3" xr3:uid="{00000000-0010-0000-0000-000003000000}" name="RECUPERADO" dataDxfId="12"/>
    <tableColumn id="4" xr3:uid="{00000000-0010-0000-0000-000004000000}" name="PENDIENTE DE RECUPERAR" dataDxfId="11"/>
    <tableColumn id="11" xr3:uid="{211C1F55-BBB9-4837-8CEF-6DDF444069FD}" name="AVANCE RECUPERACIÓN DE LA INVERSIÓN" dataDxfId="10" dataCellStyle="Porcentaje">
      <calculatedColumnFormula>Table_1[[#This Row],[RECUPERADO]]/Table_1[[#This Row],[APORTACIÓN]]</calculatedColumnFormula>
    </tableColumn>
    <tableColumn id="9" xr3:uid="{A0450E0D-B486-4DD3-B9EE-88E01B518F99}" name="UTILIDAD ESPERADA" dataDxfId="9">
      <calculatedColumnFormula>COMALCALCO!I2</calculatedColumnFormula>
    </tableColumn>
    <tableColumn id="5" xr3:uid="{00000000-0010-0000-0000-000005000000}" name="UTILIDAD COBRADA" dataDxfId="8"/>
    <tableColumn id="7" xr3:uid="{00000000-0010-0000-0000-000007000000}" name="AVANCE DE COBRO DE UTILIDAD" dataDxfId="7" dataCellStyle="Porcentaje">
      <calculatedColumnFormula>Table_1[[#This Row],[UTILIDAD COBRADA]]/Table_1[[#This Row],[UTILIDAD ESPERADA]]</calculatedColumnFormula>
    </tableColumn>
    <tableColumn id="8" xr3:uid="{EA857146-FBDF-4AB8-B675-47B4657FAD29}" name="ACCIONES" dataDxfId="6" totalsRowDxfId="5"/>
  </tableColumns>
  <tableStyleInfo name="GENER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9"/>
  <sheetViews>
    <sheetView zoomScale="90" zoomScaleNormal="90" workbookViewId="0">
      <selection activeCell="C23" sqref="C23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60" t="s">
        <v>204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67" t="s">
        <v>0</v>
      </c>
      <c r="B4" s="371"/>
      <c r="C4" s="368" t="s">
        <v>1</v>
      </c>
      <c r="D4" s="369" t="s">
        <v>2</v>
      </c>
      <c r="E4" s="370">
        <v>1000000</v>
      </c>
      <c r="F4" s="356" t="s">
        <v>3</v>
      </c>
      <c r="G4" s="356">
        <f>H8*M8+H9*M9</f>
        <v>289151.78000000003</v>
      </c>
      <c r="H4" s="357" t="s">
        <v>4</v>
      </c>
      <c r="I4" s="357">
        <f>E4-G4</f>
        <v>710848.22</v>
      </c>
      <c r="J4" s="358"/>
      <c r="K4" s="33" t="s">
        <v>5</v>
      </c>
      <c r="L4" s="349">
        <f>G4/E4</f>
        <v>0.28915178000000002</v>
      </c>
      <c r="M4" s="350"/>
    </row>
    <row r="5" spans="1:13" ht="14.25" customHeight="1" thickTop="1" thickBot="1">
      <c r="A5" s="344"/>
      <c r="B5" s="372"/>
      <c r="C5" s="346"/>
      <c r="D5" s="346"/>
      <c r="E5" s="346"/>
      <c r="F5" s="327"/>
      <c r="G5" s="327"/>
      <c r="H5" s="327"/>
      <c r="I5" s="327"/>
      <c r="J5" s="359"/>
      <c r="K5" s="33" t="s">
        <v>6</v>
      </c>
      <c r="L5" s="349">
        <f>M8</f>
        <v>1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13" ht="29.95" customHeight="1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s="309" customFormat="1" ht="25.2" customHeight="1">
      <c r="A8" s="19">
        <v>1</v>
      </c>
      <c r="B8" s="19">
        <v>2025</v>
      </c>
      <c r="C8" s="9" t="s">
        <v>101</v>
      </c>
      <c r="D8" s="364" t="s">
        <v>94</v>
      </c>
      <c r="E8" s="365"/>
      <c r="F8" s="100">
        <f>756000-75600</f>
        <v>680400</v>
      </c>
      <c r="G8" s="100">
        <v>556000</v>
      </c>
      <c r="H8" s="100">
        <f>118400</f>
        <v>118400</v>
      </c>
      <c r="I8" s="101">
        <f>H8</f>
        <v>118400</v>
      </c>
      <c r="J8" s="59">
        <f>H8/F8</f>
        <v>0.17401528512639625</v>
      </c>
      <c r="K8" s="20" t="s">
        <v>19</v>
      </c>
      <c r="L8" s="59">
        <v>1</v>
      </c>
      <c r="M8" s="59">
        <v>1</v>
      </c>
    </row>
    <row r="9" spans="1:13" s="309" customFormat="1" ht="40.65" customHeight="1">
      <c r="A9" s="17">
        <v>2</v>
      </c>
      <c r="B9" s="39">
        <v>2026</v>
      </c>
      <c r="C9" s="52" t="s">
        <v>100</v>
      </c>
      <c r="D9" s="355" t="s">
        <v>389</v>
      </c>
      <c r="E9" s="355"/>
      <c r="F9" s="92">
        <v>2642190.5</v>
      </c>
      <c r="G9" s="69">
        <v>1725000</v>
      </c>
      <c r="H9" s="93">
        <v>569172.6</v>
      </c>
      <c r="I9" s="94">
        <f>H9</f>
        <v>569172.6</v>
      </c>
      <c r="J9" s="60">
        <v>0.42</v>
      </c>
      <c r="K9" s="18" t="s">
        <v>130</v>
      </c>
      <c r="L9" s="60">
        <v>0.4</v>
      </c>
      <c r="M9" s="60">
        <v>0.3</v>
      </c>
    </row>
    <row r="10" spans="1:13" ht="14.25" customHeight="1">
      <c r="E10" s="96" t="s">
        <v>20</v>
      </c>
      <c r="F10" s="97">
        <f>SUM(F8:F9)</f>
        <v>3322590.5</v>
      </c>
      <c r="G10" s="97">
        <f t="shared" ref="G10:I10" si="0">SUM(G8:G9)</f>
        <v>2281000</v>
      </c>
      <c r="H10" s="97">
        <f t="shared" si="0"/>
        <v>687572.6</v>
      </c>
      <c r="I10" s="97">
        <f t="shared" si="0"/>
        <v>687572.6</v>
      </c>
    </row>
    <row r="11" spans="1:13" ht="14.25" customHeight="1"/>
    <row r="12" spans="1:13" ht="14.25" customHeight="1">
      <c r="E12" s="322" t="s">
        <v>21</v>
      </c>
      <c r="F12" s="322"/>
      <c r="G12" s="322"/>
      <c r="H12" s="46">
        <f>H10/F10</f>
        <v>0.20693871242935294</v>
      </c>
    </row>
    <row r="13" spans="1:13" ht="14.25" customHeight="1"/>
    <row r="14" spans="1:13" ht="14.25" customHeight="1">
      <c r="K14" s="169"/>
    </row>
    <row r="15" spans="1:13" ht="14.25" customHeight="1">
      <c r="K15" s="56"/>
    </row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9">
    <mergeCell ref="A1:K2"/>
    <mergeCell ref="D7:E7"/>
    <mergeCell ref="D8:E8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B4:B5"/>
    <mergeCell ref="E12:G12"/>
    <mergeCell ref="D9:E9"/>
    <mergeCell ref="G4:G5"/>
    <mergeCell ref="H4:H5"/>
    <mergeCell ref="J4:J5"/>
  </mergeCells>
  <pageMargins left="0.43307086614173229" right="0.47244094488188981" top="0.74803149606299213" bottom="0.74803149606299213" header="0.31496062992125984" footer="0.31496062992125984"/>
  <pageSetup scale="63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F3957C-3B64-46C2-B251-6F118E6D5FBB}">
          <x14:formula1>
            <xm:f>Hoja1!$B$3:$B$4</xm:f>
          </x14:formula1>
          <xm:sqref>B8:B9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99"/>
  <sheetViews>
    <sheetView topLeftCell="B3" zoomScale="90" zoomScaleNormal="90" workbookViewId="0">
      <selection activeCell="D12" sqref="D12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8.09765625" style="74" customWidth="1"/>
    <col min="8" max="8" width="16.69921875" style="74" customWidth="1"/>
    <col min="9" max="9" width="14.69921875" style="74" customWidth="1"/>
    <col min="10" max="10" width="8.796875" bestFit="1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60" t="s">
        <v>206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13" ht="21.0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21.0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21.05" customHeight="1" thickTop="1" thickBot="1">
      <c r="A4" s="367" t="s">
        <v>0</v>
      </c>
      <c r="B4" s="371"/>
      <c r="C4" s="368">
        <v>1</v>
      </c>
      <c r="D4" s="369" t="s">
        <v>2</v>
      </c>
      <c r="E4" s="370">
        <v>3000000</v>
      </c>
      <c r="F4" s="356" t="s">
        <v>3</v>
      </c>
      <c r="G4" s="356">
        <f>H8*M8+H9*M9+H10*M10</f>
        <v>2942133.0961934049</v>
      </c>
      <c r="H4" s="357" t="s">
        <v>30</v>
      </c>
      <c r="I4" s="357">
        <f>H11-E4</f>
        <v>-3000000</v>
      </c>
      <c r="J4" s="358"/>
      <c r="K4" s="33" t="s">
        <v>5</v>
      </c>
      <c r="L4" s="349">
        <f>G4/E4</f>
        <v>0.9807110320644683</v>
      </c>
      <c r="M4" s="350"/>
    </row>
    <row r="5" spans="1:13" ht="21.05" customHeight="1" thickTop="1" thickBot="1">
      <c r="A5" s="344"/>
      <c r="B5" s="372"/>
      <c r="C5" s="346"/>
      <c r="D5" s="346"/>
      <c r="E5" s="346"/>
      <c r="F5" s="327"/>
      <c r="G5" s="327"/>
      <c r="H5" s="327"/>
      <c r="I5" s="327"/>
      <c r="J5" s="359"/>
      <c r="K5" s="33" t="s">
        <v>6</v>
      </c>
      <c r="L5" s="377">
        <f>AVERAGE(M8:M9)</f>
        <v>1</v>
      </c>
      <c r="M5" s="378"/>
    </row>
    <row r="6" spans="1:13" ht="21.0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13" ht="39.75" customHeight="1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49.25" customHeight="1">
      <c r="A8" s="8">
        <v>1</v>
      </c>
      <c r="B8" s="8">
        <v>2025</v>
      </c>
      <c r="C8" s="37" t="s">
        <v>97</v>
      </c>
      <c r="D8" s="364" t="s">
        <v>94</v>
      </c>
      <c r="E8" s="374"/>
      <c r="F8" s="67">
        <f>8328557.14/1.16</f>
        <v>7179790.6379310349</v>
      </c>
      <c r="G8" s="67">
        <v>4705273.79</v>
      </c>
      <c r="H8" s="67">
        <v>840893.12</v>
      </c>
      <c r="I8" s="68">
        <f>H8/2</f>
        <v>420446.56</v>
      </c>
      <c r="J8" s="30">
        <f>H8/CENTLA!G8</f>
        <v>0.17871289908509236</v>
      </c>
      <c r="K8" s="10" t="s">
        <v>22</v>
      </c>
      <c r="L8" s="30">
        <v>1</v>
      </c>
      <c r="M8" s="30">
        <v>1</v>
      </c>
    </row>
    <row r="9" spans="1:13" ht="38.450000000000003" customHeight="1">
      <c r="A9" s="13">
        <v>2</v>
      </c>
      <c r="B9" s="39">
        <v>2025</v>
      </c>
      <c r="C9" s="36" t="s">
        <v>96</v>
      </c>
      <c r="D9" s="373" t="s">
        <v>94</v>
      </c>
      <c r="E9" s="373"/>
      <c r="F9" s="86">
        <f>9303329.73/1.16</f>
        <v>8020111.8362068972</v>
      </c>
      <c r="G9" s="86">
        <v>6283798.6699999999</v>
      </c>
      <c r="H9" s="86">
        <v>2012846.6171934046</v>
      </c>
      <c r="I9" s="87">
        <f>H9/2</f>
        <v>1006423.3085967023</v>
      </c>
      <c r="J9" s="62">
        <f>H9/F9</f>
        <v>0.25097488143574043</v>
      </c>
      <c r="K9" s="13" t="s">
        <v>22</v>
      </c>
      <c r="L9" s="38">
        <v>1</v>
      </c>
      <c r="M9" s="38">
        <v>1</v>
      </c>
    </row>
    <row r="10" spans="1:13" ht="51" customHeight="1">
      <c r="A10" s="8">
        <v>3</v>
      </c>
      <c r="B10" s="8">
        <v>2026</v>
      </c>
      <c r="C10" s="9" t="s">
        <v>355</v>
      </c>
      <c r="D10" s="375" t="s">
        <v>384</v>
      </c>
      <c r="E10" s="376"/>
      <c r="F10" s="67">
        <v>1303172.68</v>
      </c>
      <c r="G10" s="67">
        <v>770487.09</v>
      </c>
      <c r="H10" s="67">
        <v>294644.53000000003</v>
      </c>
      <c r="I10" s="68">
        <f>H10/2</f>
        <v>147322.26500000001</v>
      </c>
      <c r="J10" s="30">
        <f>H10/F10</f>
        <v>0.22609784146180845</v>
      </c>
      <c r="K10" s="10" t="s">
        <v>22</v>
      </c>
      <c r="L10" s="30">
        <v>0.98</v>
      </c>
      <c r="M10" s="30">
        <v>0.3</v>
      </c>
    </row>
    <row r="11" spans="1:13" ht="37.15" customHeight="1">
      <c r="A11" s="8">
        <v>3</v>
      </c>
      <c r="B11" s="8">
        <v>2026</v>
      </c>
      <c r="C11" s="9" t="s">
        <v>387</v>
      </c>
      <c r="D11" s="375" t="s">
        <v>390</v>
      </c>
      <c r="E11" s="376"/>
      <c r="F11" s="67">
        <v>0</v>
      </c>
      <c r="G11" s="67">
        <v>0</v>
      </c>
      <c r="H11" s="67">
        <v>0</v>
      </c>
      <c r="I11" s="68">
        <f>H11/2</f>
        <v>0</v>
      </c>
      <c r="J11" s="30" t="e">
        <f>H11/F11</f>
        <v>#DIV/0!</v>
      </c>
      <c r="K11" s="10" t="s">
        <v>388</v>
      </c>
      <c r="L11" s="30">
        <v>0</v>
      </c>
      <c r="M11" s="30">
        <v>0</v>
      </c>
    </row>
    <row r="12" spans="1:13" ht="14.25" customHeight="1">
      <c r="G12" s="95"/>
    </row>
    <row r="13" spans="1:13" ht="14.25" customHeight="1">
      <c r="E13" s="322" t="s">
        <v>21</v>
      </c>
      <c r="F13" s="322"/>
      <c r="G13" s="322"/>
      <c r="H13" s="46" t="e">
        <f>H11/F11</f>
        <v>#DIV/0!</v>
      </c>
    </row>
    <row r="14" spans="1:13" ht="14.25" customHeight="1"/>
    <row r="15" spans="1:13" ht="14.25" customHeight="1"/>
    <row r="16" spans="1:13" ht="14.25" customHeight="1"/>
    <row r="17" spans="8:8" ht="14.25" customHeight="1">
      <c r="H17" s="166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1">
    <mergeCell ref="A1:K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J4:J5"/>
    <mergeCell ref="B4:B5"/>
    <mergeCell ref="D9:E9"/>
    <mergeCell ref="E13:G13"/>
    <mergeCell ref="D7:E7"/>
    <mergeCell ref="G4:G5"/>
    <mergeCell ref="H4:H5"/>
    <mergeCell ref="D8:E8"/>
    <mergeCell ref="D10:E10"/>
    <mergeCell ref="D11:E11"/>
  </mergeCells>
  <pageMargins left="0.23622047244094491" right="0.23622047244094491" top="0.74803149606299213" bottom="0.74803149606299213" header="0.31496062992125984" footer="0.31496062992125984"/>
  <pageSetup scale="6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76B26-B031-44F2-B7F7-5D56325B66AC}">
          <x14:formula1>
            <xm:f>Hoja1!$B$3:$B$4</xm:f>
          </x14:formula1>
          <xm:sqref>B8:B11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F859-FB56-46F4-BAEB-2D044A7A1DB5}">
  <dimension ref="A1:M997"/>
  <sheetViews>
    <sheetView zoomScale="85" zoomScaleNormal="85" workbookViewId="0">
      <selection activeCell="D16" sqref="D16"/>
    </sheetView>
  </sheetViews>
  <sheetFormatPr baseColWidth="10" defaultColWidth="14.3984375" defaultRowHeight="14.4"/>
  <cols>
    <col min="1" max="2" width="8.69921875" style="63" customWidth="1"/>
    <col min="3" max="3" width="18.69921875" customWidth="1"/>
    <col min="4" max="4" width="13.59765625" bestFit="1" customWidth="1"/>
    <col min="5" max="5" width="16.0976562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60" t="s">
        <v>207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13" ht="21.0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21.0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21.05" customHeight="1" thickTop="1" thickBot="1">
      <c r="A4" s="367" t="s">
        <v>0</v>
      </c>
      <c r="B4" s="371"/>
      <c r="C4" s="368" t="s">
        <v>1</v>
      </c>
      <c r="D4" s="369" t="s">
        <v>2</v>
      </c>
      <c r="E4" s="370">
        <f>23000+30000</f>
        <v>53000</v>
      </c>
      <c r="F4" s="356" t="s">
        <v>3</v>
      </c>
      <c r="G4" s="356">
        <f>H8*M8</f>
        <v>169907.38</v>
      </c>
      <c r="H4" s="357" t="s">
        <v>30</v>
      </c>
      <c r="I4" s="357">
        <f>I9-E4</f>
        <v>116907.38</v>
      </c>
      <c r="J4" s="358"/>
      <c r="K4" s="33" t="s">
        <v>5</v>
      </c>
      <c r="L4" s="349">
        <v>1</v>
      </c>
      <c r="M4" s="350"/>
    </row>
    <row r="5" spans="1:13" ht="21.05" customHeight="1" thickTop="1" thickBot="1">
      <c r="A5" s="344"/>
      <c r="B5" s="372"/>
      <c r="C5" s="346"/>
      <c r="D5" s="346"/>
      <c r="E5" s="346"/>
      <c r="F5" s="327"/>
      <c r="G5" s="327"/>
      <c r="H5" s="327"/>
      <c r="I5" s="327"/>
      <c r="J5" s="359"/>
      <c r="K5" s="33" t="s">
        <v>6</v>
      </c>
      <c r="L5" s="377">
        <f>M8</f>
        <v>1</v>
      </c>
      <c r="M5" s="378"/>
    </row>
    <row r="6" spans="1:13" ht="21.0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13" ht="39.75" customHeight="1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71.45" customHeight="1">
      <c r="A8" s="8">
        <v>1</v>
      </c>
      <c r="B8" s="8">
        <v>2025</v>
      </c>
      <c r="C8" s="9" t="s">
        <v>131</v>
      </c>
      <c r="D8" s="375" t="s">
        <v>192</v>
      </c>
      <c r="E8" s="376"/>
      <c r="F8" s="67">
        <f>546677.16/1.16</f>
        <v>471273.41379310354</v>
      </c>
      <c r="G8" s="67">
        <v>288942.28000000003</v>
      </c>
      <c r="H8" s="67">
        <v>169907.38</v>
      </c>
      <c r="I8" s="68">
        <f>H8</f>
        <v>169907.38</v>
      </c>
      <c r="J8" s="30">
        <f>H8/F8</f>
        <v>0.3605282518113615</v>
      </c>
      <c r="K8" s="10" t="s">
        <v>22</v>
      </c>
      <c r="L8" s="30">
        <v>1</v>
      </c>
      <c r="M8" s="30">
        <v>1</v>
      </c>
    </row>
    <row r="9" spans="1:13" ht="14.25" customHeight="1">
      <c r="E9" s="96" t="s">
        <v>20</v>
      </c>
      <c r="F9" s="97">
        <f>SUM(F8:F8)</f>
        <v>471273.41379310354</v>
      </c>
      <c r="G9" s="97">
        <f>SUM(G8:G8)</f>
        <v>288942.28000000003</v>
      </c>
      <c r="H9" s="97">
        <f>SUM(H8:H8)</f>
        <v>169907.38</v>
      </c>
      <c r="I9" s="97">
        <f>SUM(I8:I8)</f>
        <v>169907.38</v>
      </c>
    </row>
    <row r="10" spans="1:13" ht="14.25" customHeight="1">
      <c r="G10" s="95"/>
    </row>
    <row r="11" spans="1:13" ht="14.25" customHeight="1">
      <c r="E11" s="322" t="s">
        <v>21</v>
      </c>
      <c r="F11" s="322"/>
      <c r="G11" s="322"/>
      <c r="H11" s="46">
        <f>H9/F9</f>
        <v>0.3605282518113615</v>
      </c>
    </row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18">
    <mergeCell ref="E11:G11"/>
    <mergeCell ref="I4:I5"/>
    <mergeCell ref="L4:M4"/>
    <mergeCell ref="L5:M5"/>
    <mergeCell ref="D7:E7"/>
    <mergeCell ref="D8:E8"/>
    <mergeCell ref="J4:J5"/>
    <mergeCell ref="A1:K2"/>
    <mergeCell ref="L1:L2"/>
    <mergeCell ref="M1:M2"/>
    <mergeCell ref="A4:A5"/>
    <mergeCell ref="C4:C5"/>
    <mergeCell ref="D4:D5"/>
    <mergeCell ref="E4:E5"/>
    <mergeCell ref="F4:F5"/>
    <mergeCell ref="G4:G5"/>
    <mergeCell ref="H4:H5"/>
    <mergeCell ref="B4:B5"/>
  </mergeCells>
  <pageMargins left="0.70866141732283472" right="0.70866141732283472" top="0.74803149606299213" bottom="0.74803149606299213" header="0.31496062992125984" footer="0.31496062992125984"/>
  <pageSetup scale="65" orientation="landscape" horizontalDpi="360" verticalDpi="360" r:id="rId1"/>
  <headerFooter>
    <oddFooter>Página &amp;P de &amp;F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4D357E8-C84A-4E5D-AFA0-C14969E38250}">
          <x14:formula1>
            <xm:f>Hoja1!$B$3:$B$4</xm:f>
          </x14:formula1>
          <xm:sqref>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A9EC-6B43-42A8-A8C4-1007136E2FBF}">
  <sheetPr>
    <pageSetUpPr fitToPage="1"/>
  </sheetPr>
  <dimension ref="A1:M998"/>
  <sheetViews>
    <sheetView zoomScaleNormal="100" workbookViewId="0">
      <selection activeCell="G15" sqref="G15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4" width="20.296875" customWidth="1"/>
    <col min="5" max="5" width="25.0976562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60" t="s">
        <v>208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67" t="s">
        <v>0</v>
      </c>
      <c r="B4" s="371"/>
      <c r="C4" s="368" t="s">
        <v>1</v>
      </c>
      <c r="D4" s="369" t="s">
        <v>2</v>
      </c>
      <c r="E4" s="370">
        <v>5000000</v>
      </c>
      <c r="F4" s="356" t="s">
        <v>3</v>
      </c>
      <c r="G4" s="356">
        <f>H9</f>
        <v>0</v>
      </c>
      <c r="H4" s="357" t="s">
        <v>4</v>
      </c>
      <c r="I4" s="357">
        <f>E4-G4</f>
        <v>5000000</v>
      </c>
      <c r="J4" s="358"/>
      <c r="K4" s="33" t="s">
        <v>5</v>
      </c>
      <c r="L4" s="349">
        <f>G4/E4</f>
        <v>0</v>
      </c>
      <c r="M4" s="350"/>
    </row>
    <row r="5" spans="1:13" ht="14.25" customHeight="1" thickTop="1" thickBot="1">
      <c r="A5" s="344"/>
      <c r="B5" s="372"/>
      <c r="C5" s="346"/>
      <c r="D5" s="346"/>
      <c r="E5" s="346"/>
      <c r="F5" s="327"/>
      <c r="G5" s="327"/>
      <c r="H5" s="327"/>
      <c r="I5" s="327"/>
      <c r="J5" s="359"/>
      <c r="K5" s="33" t="s">
        <v>6</v>
      </c>
      <c r="L5" s="349">
        <f>M8</f>
        <v>0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13" ht="29.95" customHeight="1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67" customHeight="1">
      <c r="A8" s="8">
        <v>1</v>
      </c>
      <c r="B8" s="8">
        <v>2026</v>
      </c>
      <c r="C8" s="9" t="s">
        <v>225</v>
      </c>
      <c r="D8" s="375" t="s">
        <v>381</v>
      </c>
      <c r="E8" s="379"/>
      <c r="F8" s="67"/>
      <c r="G8" s="67"/>
      <c r="H8" s="67"/>
      <c r="I8" s="68"/>
      <c r="J8" s="30"/>
      <c r="K8" s="10" t="s">
        <v>22</v>
      </c>
      <c r="L8" s="30"/>
      <c r="M8" s="30"/>
    </row>
    <row r="9" spans="1:13" ht="14.25" customHeight="1">
      <c r="E9" s="96" t="s">
        <v>20</v>
      </c>
      <c r="F9" s="97">
        <f>SUM(F8)</f>
        <v>0</v>
      </c>
      <c r="G9" s="97">
        <f>SUM(G8:G8)</f>
        <v>0</v>
      </c>
      <c r="H9" s="97">
        <f>SUM(H8:H8)</f>
        <v>0</v>
      </c>
      <c r="I9" s="97">
        <f>SUM(I8:I8)</f>
        <v>0</v>
      </c>
    </row>
    <row r="10" spans="1:13" ht="14.25" customHeight="1"/>
    <row r="11" spans="1:13" ht="14.25" customHeight="1">
      <c r="E11" s="322" t="s">
        <v>21</v>
      </c>
      <c r="F11" s="322"/>
      <c r="G11" s="322"/>
      <c r="H11" s="46"/>
    </row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8">
    <mergeCell ref="A1:K2"/>
    <mergeCell ref="L1:L2"/>
    <mergeCell ref="M1:M2"/>
    <mergeCell ref="A4:A5"/>
    <mergeCell ref="C4:C5"/>
    <mergeCell ref="D4:D5"/>
    <mergeCell ref="E4:E5"/>
    <mergeCell ref="F4:F5"/>
    <mergeCell ref="G4:G5"/>
    <mergeCell ref="H4:H5"/>
    <mergeCell ref="B4:B5"/>
    <mergeCell ref="E11:G11"/>
    <mergeCell ref="I4:I5"/>
    <mergeCell ref="J4:J5"/>
    <mergeCell ref="L4:M4"/>
    <mergeCell ref="L5:M5"/>
    <mergeCell ref="D7:E7"/>
    <mergeCell ref="D8:E8"/>
  </mergeCells>
  <pageMargins left="0.43307086614173229" right="0.47244094488188981" top="0.74803149606299213" bottom="0.74803149606299213" header="0.31496062992125984" footer="0.31496062992125984"/>
  <pageSetup scale="61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9CCA69-870C-4D4B-BB61-D05668CF0C59}">
          <x14:formula1>
            <xm:f>Hoja1!$B$3:$B$4</xm:f>
          </x14:formula1>
          <xm:sqref>B8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F260-74A5-42F7-808F-ECB802343A6B}">
  <sheetPr>
    <pageSetUpPr fitToPage="1"/>
  </sheetPr>
  <dimension ref="A1:M999"/>
  <sheetViews>
    <sheetView zoomScaleNormal="100" workbookViewId="0">
      <selection activeCell="D12" sqref="D12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4" width="20.296875" customWidth="1"/>
    <col min="5" max="5" width="25.0976562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60" t="s">
        <v>312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67" t="s">
        <v>0</v>
      </c>
      <c r="B4" s="371"/>
      <c r="C4" s="368" t="s">
        <v>1</v>
      </c>
      <c r="D4" s="369" t="s">
        <v>2</v>
      </c>
      <c r="E4" s="370"/>
      <c r="F4" s="356" t="s">
        <v>3</v>
      </c>
      <c r="G4" s="356">
        <f>H10</f>
        <v>0</v>
      </c>
      <c r="H4" s="357" t="s">
        <v>4</v>
      </c>
      <c r="I4" s="357">
        <f>E4-G4</f>
        <v>0</v>
      </c>
      <c r="J4" s="358"/>
      <c r="K4" s="33" t="s">
        <v>5</v>
      </c>
      <c r="L4" s="349"/>
      <c r="M4" s="350"/>
    </row>
    <row r="5" spans="1:13" ht="14.25" customHeight="1" thickTop="1" thickBot="1">
      <c r="A5" s="344"/>
      <c r="B5" s="372"/>
      <c r="C5" s="346"/>
      <c r="D5" s="346"/>
      <c r="E5" s="346"/>
      <c r="F5" s="327"/>
      <c r="G5" s="327"/>
      <c r="H5" s="327"/>
      <c r="I5" s="327"/>
      <c r="J5" s="359"/>
      <c r="K5" s="33" t="s">
        <v>6</v>
      </c>
      <c r="L5" s="349">
        <f>M8</f>
        <v>0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13" ht="29.95" customHeight="1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54.75" customHeight="1">
      <c r="A8" s="8">
        <v>1</v>
      </c>
      <c r="B8" s="8">
        <v>2026</v>
      </c>
      <c r="C8" s="9" t="s">
        <v>313</v>
      </c>
      <c r="D8" s="375" t="s">
        <v>343</v>
      </c>
      <c r="E8" s="379"/>
      <c r="F8" s="67"/>
      <c r="G8" s="67"/>
      <c r="H8" s="67"/>
      <c r="I8" s="68"/>
      <c r="J8" s="30"/>
      <c r="K8" s="10" t="s">
        <v>22</v>
      </c>
      <c r="L8" s="30"/>
      <c r="M8" s="30"/>
    </row>
    <row r="9" spans="1:13" ht="104.4" customHeight="1">
      <c r="A9" s="8">
        <v>2</v>
      </c>
      <c r="B9" s="8">
        <v>2026</v>
      </c>
      <c r="C9" s="9" t="s">
        <v>341</v>
      </c>
      <c r="D9" s="375" t="s">
        <v>391</v>
      </c>
      <c r="E9" s="379"/>
      <c r="F9" s="67"/>
      <c r="G9" s="67"/>
      <c r="H9" s="67"/>
      <c r="I9" s="68"/>
      <c r="J9" s="30"/>
      <c r="K9" s="10" t="s">
        <v>22</v>
      </c>
      <c r="L9" s="30"/>
      <c r="M9" s="30"/>
    </row>
    <row r="10" spans="1:13" ht="14.25" customHeight="1">
      <c r="E10" s="96" t="s">
        <v>20</v>
      </c>
      <c r="F10" s="97">
        <f>SUM(F8)</f>
        <v>0</v>
      </c>
      <c r="G10" s="97">
        <f>SUM(G8:G8)</f>
        <v>0</v>
      </c>
      <c r="H10" s="97">
        <f>SUM(H8:H8)</f>
        <v>0</v>
      </c>
      <c r="I10" s="97">
        <f>SUM(I8:I8)</f>
        <v>0</v>
      </c>
    </row>
    <row r="11" spans="1:13" ht="14.25" customHeight="1"/>
    <row r="12" spans="1:13" ht="14.25" customHeight="1">
      <c r="E12" s="322" t="s">
        <v>21</v>
      </c>
      <c r="F12" s="322"/>
      <c r="G12" s="322"/>
      <c r="H12" s="46"/>
    </row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9">
    <mergeCell ref="L4:M4"/>
    <mergeCell ref="L5:M5"/>
    <mergeCell ref="D7:E7"/>
    <mergeCell ref="A1:K2"/>
    <mergeCell ref="L1:L2"/>
    <mergeCell ref="M1:M2"/>
    <mergeCell ref="A4:A5"/>
    <mergeCell ref="B4:B5"/>
    <mergeCell ref="C4:C5"/>
    <mergeCell ref="D4:D5"/>
    <mergeCell ref="E4:E5"/>
    <mergeCell ref="F4:F5"/>
    <mergeCell ref="G4:G5"/>
    <mergeCell ref="D8:E8"/>
    <mergeCell ref="E12:G12"/>
    <mergeCell ref="H4:H5"/>
    <mergeCell ref="I4:I5"/>
    <mergeCell ref="J4:J5"/>
    <mergeCell ref="D9:E9"/>
  </mergeCells>
  <pageMargins left="0.43307086614173229" right="0.47244094488188981" top="0.74803149606299213" bottom="0.74803149606299213" header="0.31496062992125984" footer="0.31496062992125984"/>
  <pageSetup scale="61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EE84E3-D828-465F-99B0-B014D2BE2ED7}">
          <x14:formula1>
            <xm:f>Hoja1!$B$3:$B$4</xm:f>
          </x14:formula1>
          <xm:sqref>B8:B9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001"/>
  <sheetViews>
    <sheetView topLeftCell="A11" zoomScale="70" zoomScaleNormal="70" workbookViewId="0">
      <selection activeCell="D16" sqref="D16"/>
    </sheetView>
  </sheetViews>
  <sheetFormatPr baseColWidth="10" defaultColWidth="14.3984375" defaultRowHeight="15" customHeight="1"/>
  <cols>
    <col min="1" max="2" width="8.69921875" style="63" customWidth="1"/>
    <col min="3" max="3" width="35.3984375" customWidth="1"/>
    <col min="4" max="4" width="20.296875" customWidth="1"/>
    <col min="5" max="5" width="29.8984375" customWidth="1"/>
    <col min="6" max="6" width="17.296875" style="74" customWidth="1"/>
    <col min="7" max="7" width="15.296875" style="74" customWidth="1"/>
    <col min="8" max="8" width="16.69921875" style="74" customWidth="1"/>
    <col min="9" max="9" width="15.3984375" style="74" bestFit="1" customWidth="1"/>
    <col min="10" max="10" width="6.69921875" customWidth="1"/>
    <col min="11" max="11" width="35.3984375" customWidth="1"/>
    <col min="12" max="12" width="10.3984375" customWidth="1"/>
    <col min="13" max="13" width="14.69921875" customWidth="1"/>
    <col min="14" max="14" width="10.69921875" customWidth="1"/>
    <col min="15" max="15" width="20.3984375" style="169" hidden="1" customWidth="1"/>
    <col min="16" max="16" width="12.59765625" style="169" hidden="1" customWidth="1"/>
    <col min="17" max="17" width="13.296875" hidden="1" customWidth="1"/>
    <col min="18" max="18" width="13.59765625" hidden="1" customWidth="1"/>
    <col min="19" max="30" width="10.69921875" customWidth="1"/>
  </cols>
  <sheetData>
    <row r="1" spans="1:30" ht="14.25" customHeight="1">
      <c r="A1" s="383" t="s">
        <v>209</v>
      </c>
      <c r="B1" s="384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30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30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30" ht="15.55" thickTop="1" thickBot="1">
      <c r="A4" s="343" t="s">
        <v>0</v>
      </c>
      <c r="B4" s="353"/>
      <c r="C4" s="345" t="s">
        <v>1</v>
      </c>
      <c r="D4" s="347" t="s">
        <v>2</v>
      </c>
      <c r="E4" s="348">
        <v>1500000</v>
      </c>
      <c r="F4" s="326" t="s">
        <v>3</v>
      </c>
      <c r="G4" s="326">
        <f>H8+H9*(M9)+H10*M10+H11*M11+H12*M12+H13*M13+H14*M14+H15*M15</f>
        <v>1973619.037</v>
      </c>
      <c r="H4" s="328" t="s">
        <v>30</v>
      </c>
      <c r="I4" s="328">
        <f>I16-E4</f>
        <v>2154056.7400000002</v>
      </c>
      <c r="J4" s="388"/>
      <c r="K4" s="57" t="s">
        <v>5</v>
      </c>
      <c r="L4" s="387">
        <f>G4/E4</f>
        <v>1.3157460246666666</v>
      </c>
      <c r="M4" s="350"/>
      <c r="N4" s="15"/>
      <c r="O4" s="190"/>
      <c r="P4" s="190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</row>
    <row r="5" spans="1:30" ht="15.55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89"/>
      <c r="K5" s="58" t="s">
        <v>6</v>
      </c>
      <c r="L5" s="387">
        <f>AVERAGE(M8:M15)</f>
        <v>0.91249999999999998</v>
      </c>
      <c r="M5" s="350"/>
      <c r="N5" s="15"/>
      <c r="O5" s="190"/>
      <c r="P5" s="190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30" ht="33" customHeight="1">
      <c r="A7" s="7" t="s">
        <v>7</v>
      </c>
      <c r="B7" s="41" t="s">
        <v>228</v>
      </c>
      <c r="C7" s="41" t="s">
        <v>8</v>
      </c>
      <c r="D7" s="380" t="s">
        <v>9</v>
      </c>
      <c r="E7" s="381"/>
      <c r="F7" s="81" t="s">
        <v>11</v>
      </c>
      <c r="G7" s="81" t="s">
        <v>12</v>
      </c>
      <c r="H7" s="81" t="s">
        <v>13</v>
      </c>
      <c r="I7" s="81" t="s">
        <v>14</v>
      </c>
      <c r="J7" s="41" t="s">
        <v>92</v>
      </c>
      <c r="K7" s="41" t="s">
        <v>15</v>
      </c>
      <c r="L7" s="41" t="s">
        <v>93</v>
      </c>
      <c r="M7" s="41" t="s">
        <v>16</v>
      </c>
    </row>
    <row r="8" spans="1:30" ht="36.6" customHeight="1">
      <c r="A8" s="39">
        <v>1</v>
      </c>
      <c r="B8" s="39">
        <v>2025</v>
      </c>
      <c r="C8" s="42" t="s">
        <v>26</v>
      </c>
      <c r="D8" s="330" t="s">
        <v>95</v>
      </c>
      <c r="E8" s="382"/>
      <c r="F8" s="88">
        <f>1413525.64/1.16</f>
        <v>1218556.5862068965</v>
      </c>
      <c r="G8" s="88">
        <v>915713</v>
      </c>
      <c r="H8" s="88">
        <f>273542.04*M8</f>
        <v>273542.03999999998</v>
      </c>
      <c r="I8" s="89">
        <f t="shared" ref="I8:I9" si="0">H8</f>
        <v>273542.03999999998</v>
      </c>
      <c r="J8" s="43">
        <f>H8/F8</f>
        <v>0.22448037546740221</v>
      </c>
      <c r="K8" s="44" t="s">
        <v>22</v>
      </c>
      <c r="L8" s="43">
        <v>1</v>
      </c>
      <c r="M8" s="43">
        <v>1</v>
      </c>
    </row>
    <row r="9" spans="1:30" ht="65.7" customHeight="1">
      <c r="A9" s="40">
        <v>2</v>
      </c>
      <c r="B9" s="40">
        <v>2025</v>
      </c>
      <c r="C9" s="45" t="s">
        <v>132</v>
      </c>
      <c r="D9" s="323" t="s">
        <v>95</v>
      </c>
      <c r="E9" s="323"/>
      <c r="F9" s="90">
        <f>1204783.92/1.16</f>
        <v>1038606.827586207</v>
      </c>
      <c r="G9" s="90">
        <v>874765.97</v>
      </c>
      <c r="H9" s="90">
        <v>166598.85999999999</v>
      </c>
      <c r="I9" s="91">
        <f t="shared" si="0"/>
        <v>166598.85999999999</v>
      </c>
      <c r="J9" s="46">
        <f>H9/F9</f>
        <v>0.1604060897492722</v>
      </c>
      <c r="K9" s="47" t="s">
        <v>22</v>
      </c>
      <c r="L9" s="46">
        <v>1</v>
      </c>
      <c r="M9" s="46">
        <v>1</v>
      </c>
      <c r="O9" s="193" t="s">
        <v>167</v>
      </c>
      <c r="P9" s="191">
        <v>0.3</v>
      </c>
      <c r="Q9" s="192" t="s">
        <v>168</v>
      </c>
      <c r="R9" s="192" t="s">
        <v>169</v>
      </c>
    </row>
    <row r="10" spans="1:30" ht="65.7" customHeight="1">
      <c r="A10" s="39">
        <v>3</v>
      </c>
      <c r="B10" s="39">
        <v>2025</v>
      </c>
      <c r="C10" s="42" t="s">
        <v>153</v>
      </c>
      <c r="D10" s="330" t="s">
        <v>95</v>
      </c>
      <c r="E10" s="382"/>
      <c r="F10" s="181">
        <v>514735.32</v>
      </c>
      <c r="G10" s="88">
        <v>382364.03</v>
      </c>
      <c r="H10" s="88">
        <v>117597.94</v>
      </c>
      <c r="I10" s="89">
        <f t="shared" ref="I10:I15" si="1">H10</f>
        <v>117597.94</v>
      </c>
      <c r="J10" s="43">
        <f t="shared" ref="J10:J14" si="2">I10/F10</f>
        <v>0.22846293120122396</v>
      </c>
      <c r="K10" s="44" t="s">
        <v>22</v>
      </c>
      <c r="L10" s="43">
        <v>1</v>
      </c>
      <c r="M10" s="43">
        <v>1</v>
      </c>
      <c r="O10" s="194">
        <v>597092.98</v>
      </c>
      <c r="P10" s="194">
        <v>175127.89</v>
      </c>
      <c r="Q10" s="195">
        <f>417952.02+P10</f>
        <v>593079.91</v>
      </c>
      <c r="R10" s="194">
        <f>+O10-Q10</f>
        <v>4013.0699999999488</v>
      </c>
    </row>
    <row r="11" spans="1:30" ht="65.7" customHeight="1">
      <c r="A11" s="40">
        <v>4</v>
      </c>
      <c r="B11" s="40">
        <v>2025</v>
      </c>
      <c r="C11" s="45" t="s">
        <v>154</v>
      </c>
      <c r="D11" s="323" t="s">
        <v>261</v>
      </c>
      <c r="E11" s="323"/>
      <c r="F11" s="90">
        <f>900024.77/1.16</f>
        <v>775883.42241379316</v>
      </c>
      <c r="G11" s="90">
        <v>591537.18999999994</v>
      </c>
      <c r="H11" s="90">
        <v>181970.97</v>
      </c>
      <c r="I11" s="91">
        <f t="shared" si="1"/>
        <v>181970.97</v>
      </c>
      <c r="J11" s="46">
        <f t="shared" si="2"/>
        <v>0.23453390643904165</v>
      </c>
      <c r="K11" s="47" t="s">
        <v>22</v>
      </c>
      <c r="L11" s="46">
        <v>1</v>
      </c>
      <c r="M11" s="46">
        <v>1</v>
      </c>
      <c r="O11" s="194">
        <v>900024.77</v>
      </c>
      <c r="P11" s="194">
        <v>270007.43</v>
      </c>
      <c r="Q11" s="195"/>
      <c r="R11" s="194"/>
    </row>
    <row r="12" spans="1:30" ht="65.7" customHeight="1">
      <c r="A12" s="39">
        <v>5</v>
      </c>
      <c r="B12" s="39">
        <v>2025</v>
      </c>
      <c r="C12" s="42" t="s">
        <v>155</v>
      </c>
      <c r="D12" s="330" t="s">
        <v>261</v>
      </c>
      <c r="E12" s="382"/>
      <c r="F12" s="181">
        <f>587009.59/1.16</f>
        <v>506042.75</v>
      </c>
      <c r="G12" s="88">
        <v>375093.53</v>
      </c>
      <c r="H12" s="88">
        <v>118114.64</v>
      </c>
      <c r="I12" s="89">
        <f t="shared" si="1"/>
        <v>118114.64</v>
      </c>
      <c r="J12" s="43">
        <f t="shared" si="2"/>
        <v>0.23340842250975832</v>
      </c>
      <c r="K12" s="44" t="s">
        <v>22</v>
      </c>
      <c r="L12" s="43">
        <v>1</v>
      </c>
      <c r="M12" s="43">
        <v>1</v>
      </c>
      <c r="O12" s="194">
        <f>+F12*1.16</f>
        <v>587009.59</v>
      </c>
      <c r="P12" s="194">
        <v>176127.89</v>
      </c>
      <c r="Q12" s="195"/>
      <c r="R12" s="196"/>
    </row>
    <row r="13" spans="1:30" ht="65.7" customHeight="1">
      <c r="A13" s="40">
        <v>6</v>
      </c>
      <c r="B13" s="40">
        <v>2025</v>
      </c>
      <c r="C13" s="45" t="s">
        <v>157</v>
      </c>
      <c r="D13" s="323" t="s">
        <v>261</v>
      </c>
      <c r="E13" s="323"/>
      <c r="F13" s="90">
        <f>885738.04/1.16</f>
        <v>763567.2758620691</v>
      </c>
      <c r="G13" s="90">
        <v>582809.84</v>
      </c>
      <c r="H13" s="90">
        <v>177939.34</v>
      </c>
      <c r="I13" s="91">
        <f t="shared" si="1"/>
        <v>177939.34</v>
      </c>
      <c r="J13" s="46">
        <f t="shared" si="2"/>
        <v>0.23303688571397471</v>
      </c>
      <c r="K13" s="47" t="s">
        <v>22</v>
      </c>
      <c r="L13" s="46">
        <v>1</v>
      </c>
      <c r="M13" s="46">
        <v>1</v>
      </c>
      <c r="O13" s="194">
        <f>763567.28*1.16</f>
        <v>885738.04479999992</v>
      </c>
      <c r="P13" s="194">
        <v>265721.40000000002</v>
      </c>
      <c r="Q13" s="195">
        <f>+P13+258943.55</f>
        <v>524664.94999999995</v>
      </c>
      <c r="R13" s="195">
        <f>+O13-Q13</f>
        <v>361073.09479999996</v>
      </c>
    </row>
    <row r="14" spans="1:30" ht="60.8" customHeight="1">
      <c r="A14" s="39">
        <v>7</v>
      </c>
      <c r="B14" s="39">
        <v>2025</v>
      </c>
      <c r="C14" s="42" t="s">
        <v>156</v>
      </c>
      <c r="D14" s="385" t="s">
        <v>261</v>
      </c>
      <c r="E14" s="386"/>
      <c r="F14" s="181">
        <f>1048267.91/1.16</f>
        <v>903679.23275862075</v>
      </c>
      <c r="G14" s="88">
        <v>688421.12</v>
      </c>
      <c r="H14" s="88">
        <v>217667.66</v>
      </c>
      <c r="I14" s="89">
        <f t="shared" si="1"/>
        <v>217667.66</v>
      </c>
      <c r="J14" s="43">
        <f t="shared" si="2"/>
        <v>0.24086827727083621</v>
      </c>
      <c r="K14" s="44" t="s">
        <v>22</v>
      </c>
      <c r="L14" s="43">
        <v>1</v>
      </c>
      <c r="M14" s="43">
        <v>1</v>
      </c>
      <c r="O14" s="194">
        <v>1048267.51</v>
      </c>
      <c r="P14" s="194">
        <v>314480.37</v>
      </c>
      <c r="Q14" s="195">
        <f>+P14+183892.99</f>
        <v>498373.36</v>
      </c>
      <c r="R14" s="195">
        <f>+O14-Q14</f>
        <v>549894.15</v>
      </c>
    </row>
    <row r="15" spans="1:30" ht="60.8" customHeight="1">
      <c r="A15" s="40">
        <v>8</v>
      </c>
      <c r="B15" s="40">
        <v>2026</v>
      </c>
      <c r="C15" s="45" t="s">
        <v>386</v>
      </c>
      <c r="D15" s="332" t="s">
        <v>392</v>
      </c>
      <c r="E15" s="332"/>
      <c r="F15" s="90">
        <f>10133799.15/1.16</f>
        <v>8736033.75</v>
      </c>
      <c r="G15" s="90">
        <v>6470266.71</v>
      </c>
      <c r="H15" s="90">
        <v>2400625.29</v>
      </c>
      <c r="I15" s="91">
        <f t="shared" si="1"/>
        <v>2400625.29</v>
      </c>
      <c r="J15" s="46">
        <v>0.24</v>
      </c>
      <c r="K15" s="47" t="s">
        <v>22</v>
      </c>
      <c r="L15" s="46">
        <v>0.4</v>
      </c>
      <c r="M15" s="46">
        <v>0.3</v>
      </c>
      <c r="O15" s="194"/>
      <c r="P15" s="194"/>
      <c r="Q15" s="195"/>
      <c r="R15" s="195"/>
    </row>
    <row r="16" spans="1:30" ht="14.25" customHeight="1">
      <c r="D16" s="198"/>
      <c r="E16" s="199" t="s">
        <v>20</v>
      </c>
      <c r="F16" s="182">
        <f>SUM(F8:F15)</f>
        <v>14457105.164827585</v>
      </c>
      <c r="G16" s="182">
        <f t="shared" ref="G16:I16" si="3">SUM(G8:G15)</f>
        <v>10880971.390000001</v>
      </c>
      <c r="H16" s="182">
        <f t="shared" si="3"/>
        <v>3654056.74</v>
      </c>
      <c r="I16" s="182">
        <f t="shared" si="3"/>
        <v>3654056.74</v>
      </c>
    </row>
    <row r="17" spans="5:11" ht="14.25" customHeight="1"/>
    <row r="18" spans="5:11" ht="14.25" customHeight="1">
      <c r="E18" s="322" t="s">
        <v>21</v>
      </c>
      <c r="F18" s="322"/>
      <c r="G18" s="322"/>
      <c r="H18" s="46">
        <f>H16/F16</f>
        <v>0.2527516192446248</v>
      </c>
      <c r="K18" s="56"/>
    </row>
    <row r="19" spans="5:11" ht="14.25" customHeight="1"/>
    <row r="20" spans="5:11" ht="14.25" customHeight="1"/>
    <row r="21" spans="5:11" ht="14.25" customHeight="1"/>
    <row r="22" spans="5:11" ht="14.25" customHeight="1"/>
    <row r="23" spans="5:11" ht="14.25" customHeight="1"/>
    <row r="24" spans="5:11" ht="14.25" customHeight="1"/>
    <row r="25" spans="5:11" ht="14.25" customHeight="1"/>
    <row r="26" spans="5:11" ht="14.25" customHeight="1"/>
    <row r="27" spans="5:11" ht="14.25" customHeight="1"/>
    <row r="28" spans="5:11" ht="14.25" customHeight="1"/>
    <row r="29" spans="5:11" ht="14.25" customHeight="1"/>
    <row r="30" spans="5:11" ht="14.25" customHeight="1"/>
    <row r="31" spans="5:11" ht="14.25" customHeight="1"/>
    <row r="32" spans="5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5"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G4:G5"/>
    <mergeCell ref="H4:H5"/>
    <mergeCell ref="J4:J5"/>
    <mergeCell ref="D9:E9"/>
    <mergeCell ref="E18:G18"/>
    <mergeCell ref="D7:E7"/>
    <mergeCell ref="D8:E8"/>
    <mergeCell ref="A1:K2"/>
    <mergeCell ref="D10:E10"/>
    <mergeCell ref="D12:E12"/>
    <mergeCell ref="D14:E14"/>
    <mergeCell ref="D11:E11"/>
    <mergeCell ref="D13:E13"/>
    <mergeCell ref="B4:B5"/>
    <mergeCell ref="D15:E15"/>
  </mergeCells>
  <pageMargins left="0.23622047244094491" right="0.23622047244094491" top="0.74803149606299213" bottom="0.74803149606299213" header="0.31496062992125984" footer="0.31496062992125984"/>
  <pageSetup scale="57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DF2D63-7F4D-4E0A-B3A8-CD0E2F5226E1}">
          <x14:formula1>
            <xm:f>Hoja1!$B$3:$B$4</xm:f>
          </x14:formula1>
          <xm:sqref>B8:B15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AC1000"/>
  <sheetViews>
    <sheetView topLeftCell="A3" zoomScale="90" zoomScaleNormal="90" workbookViewId="0">
      <selection activeCell="D13" sqref="D13:E13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29" ht="14.25" customHeight="1">
      <c r="A1" s="360" t="s">
        <v>210</v>
      </c>
      <c r="B1" s="361"/>
      <c r="C1" s="335"/>
      <c r="D1" s="335"/>
      <c r="E1" s="335"/>
      <c r="F1" s="335"/>
      <c r="G1" s="335"/>
      <c r="H1" s="335"/>
      <c r="I1" s="335"/>
      <c r="J1" s="336"/>
      <c r="K1" s="337"/>
      <c r="L1" s="366"/>
      <c r="M1" s="366">
        <f ca="1">TODAY()</f>
        <v>46205</v>
      </c>
    </row>
    <row r="2" spans="1:29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29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29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>
        <v>900000</v>
      </c>
      <c r="F4" s="326" t="s">
        <v>3</v>
      </c>
      <c r="G4" s="326">
        <f>(I8*M8+I9*M9+I10*M10+I11*M11+I12*M12+I13*M13)</f>
        <v>413263.04</v>
      </c>
      <c r="H4" s="328" t="s">
        <v>4</v>
      </c>
      <c r="I4" s="328">
        <f>E4-G4</f>
        <v>486736.96</v>
      </c>
      <c r="J4" s="388"/>
      <c r="K4" s="33" t="s">
        <v>5</v>
      </c>
      <c r="L4" s="349">
        <f>G4/E4</f>
        <v>0.45918115555555555</v>
      </c>
      <c r="M4" s="350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89"/>
      <c r="K5" s="33" t="s">
        <v>6</v>
      </c>
      <c r="L5" s="349">
        <f>AVERAGE(M8:M13)</f>
        <v>0.5</v>
      </c>
      <c r="M5" s="350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  <c r="M6" s="6"/>
    </row>
    <row r="7" spans="1:29" ht="25.35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29" ht="36" customHeight="1">
      <c r="A8" s="8">
        <v>1</v>
      </c>
      <c r="B8" s="40">
        <v>2025</v>
      </c>
      <c r="C8" s="9" t="s">
        <v>23</v>
      </c>
      <c r="D8" s="392" t="s">
        <v>94</v>
      </c>
      <c r="E8" s="365"/>
      <c r="F8" s="67">
        <f>1082808.99/1.16</f>
        <v>933456.02586206899</v>
      </c>
      <c r="G8" s="67">
        <v>459050</v>
      </c>
      <c r="H8" s="67">
        <v>331697.59999999998</v>
      </c>
      <c r="I8" s="68">
        <f t="shared" ref="I8:I9" si="0">H8</f>
        <v>331697.59999999998</v>
      </c>
      <c r="J8" s="30">
        <f>H8/F8</f>
        <v>0.35534357356970225</v>
      </c>
      <c r="K8" s="10" t="s">
        <v>22</v>
      </c>
      <c r="L8" s="30">
        <v>1</v>
      </c>
      <c r="M8" s="30">
        <v>1</v>
      </c>
    </row>
    <row r="9" spans="1:29" ht="36" customHeight="1">
      <c r="A9" s="13">
        <v>2</v>
      </c>
      <c r="B9" s="39">
        <v>2025</v>
      </c>
      <c r="C9" s="14" t="s">
        <v>24</v>
      </c>
      <c r="D9" s="393" t="s">
        <v>94</v>
      </c>
      <c r="E9" s="391"/>
      <c r="F9" s="86">
        <f>199604.47/1.16</f>
        <v>172072.81896551725</v>
      </c>
      <c r="G9" s="86">
        <v>136130.34</v>
      </c>
      <c r="H9" s="86">
        <v>32927.21</v>
      </c>
      <c r="I9" s="87">
        <f t="shared" si="0"/>
        <v>32927.21</v>
      </c>
      <c r="J9" s="38">
        <f>H9/F9</f>
        <v>0.19135625369512013</v>
      </c>
      <c r="K9" s="16" t="s">
        <v>19</v>
      </c>
      <c r="L9" s="38">
        <v>1</v>
      </c>
      <c r="M9" s="38">
        <v>1</v>
      </c>
    </row>
    <row r="10" spans="1:29" s="50" customFormat="1" ht="51" customHeight="1">
      <c r="A10" s="8">
        <v>3</v>
      </c>
      <c r="B10" s="40">
        <v>2025</v>
      </c>
      <c r="C10" s="9" t="s">
        <v>25</v>
      </c>
      <c r="D10" s="364" t="s">
        <v>98</v>
      </c>
      <c r="E10" s="365"/>
      <c r="F10" s="67">
        <f>29232/1.16</f>
        <v>25200</v>
      </c>
      <c r="G10" s="67">
        <v>12145.2</v>
      </c>
      <c r="H10" s="67">
        <v>8769.6</v>
      </c>
      <c r="I10" s="68">
        <v>8769.6</v>
      </c>
      <c r="J10" s="30">
        <f>H10/F10</f>
        <v>0.34800000000000003</v>
      </c>
      <c r="K10" s="10" t="s">
        <v>19</v>
      </c>
      <c r="L10" s="12">
        <v>1</v>
      </c>
      <c r="M10" s="12">
        <v>0</v>
      </c>
    </row>
    <row r="11" spans="1:29" s="50" customFormat="1" ht="51" customHeight="1">
      <c r="A11" s="13">
        <v>4</v>
      </c>
      <c r="B11" s="39">
        <v>2025</v>
      </c>
      <c r="C11" s="14" t="s">
        <v>51</v>
      </c>
      <c r="D11" s="390" t="s">
        <v>158</v>
      </c>
      <c r="E11" s="391"/>
      <c r="F11" s="86">
        <v>113680</v>
      </c>
      <c r="G11" s="86">
        <f>31320+26448</f>
        <v>57768</v>
      </c>
      <c r="H11" s="86">
        <f>11542.4+29128</f>
        <v>40670.400000000001</v>
      </c>
      <c r="I11" s="87">
        <f>H11</f>
        <v>40670.400000000001</v>
      </c>
      <c r="J11" s="38">
        <f>I11/F11</f>
        <v>0.35776213933849405</v>
      </c>
      <c r="K11" s="16" t="s">
        <v>19</v>
      </c>
      <c r="L11" s="38">
        <v>1</v>
      </c>
      <c r="M11" s="38">
        <v>0</v>
      </c>
    </row>
    <row r="12" spans="1:29" s="50" customFormat="1" ht="48.4" customHeight="1">
      <c r="A12" s="8">
        <v>5</v>
      </c>
      <c r="B12" s="40">
        <v>2026</v>
      </c>
      <c r="C12" s="9" t="s">
        <v>145</v>
      </c>
      <c r="D12" s="364" t="s">
        <v>357</v>
      </c>
      <c r="E12" s="365"/>
      <c r="F12" s="67">
        <v>418800</v>
      </c>
      <c r="G12" s="67">
        <f>G13/2*3</f>
        <v>306842.65499999997</v>
      </c>
      <c r="H12" s="67">
        <f t="shared" ref="H12:I12" si="1">H13/2*3</f>
        <v>72957.345000000001</v>
      </c>
      <c r="I12" s="67">
        <f t="shared" si="1"/>
        <v>72957.345000000001</v>
      </c>
      <c r="J12" s="30">
        <f>H12/F12</f>
        <v>0.17420569484240689</v>
      </c>
      <c r="K12" s="10" t="s">
        <v>19</v>
      </c>
      <c r="L12" s="12">
        <v>1</v>
      </c>
      <c r="M12" s="12">
        <v>0</v>
      </c>
    </row>
    <row r="13" spans="1:29" s="50" customFormat="1" ht="83.7" customHeight="1">
      <c r="A13" s="13">
        <v>6</v>
      </c>
      <c r="B13" s="39">
        <v>2025</v>
      </c>
      <c r="C13" s="14" t="s">
        <v>145</v>
      </c>
      <c r="D13" s="390" t="s">
        <v>287</v>
      </c>
      <c r="E13" s="391"/>
      <c r="F13" s="86">
        <v>279200</v>
      </c>
      <c r="G13" s="86">
        <v>204561.77</v>
      </c>
      <c r="H13" s="86">
        <v>48638.23</v>
      </c>
      <c r="I13" s="87">
        <f>H13</f>
        <v>48638.23</v>
      </c>
      <c r="J13" s="38">
        <f>I13/F13</f>
        <v>0.17420569484240689</v>
      </c>
      <c r="K13" s="16" t="s">
        <v>19</v>
      </c>
      <c r="L13" s="38">
        <v>1</v>
      </c>
      <c r="M13" s="38">
        <v>1</v>
      </c>
    </row>
    <row r="14" spans="1:29" ht="14.25" customHeight="1">
      <c r="E14" s="96" t="s">
        <v>20</v>
      </c>
      <c r="F14" s="97">
        <f>SUM(F8:F13)</f>
        <v>1942408.8448275863</v>
      </c>
      <c r="G14" s="97">
        <f t="shared" ref="G14:I14" si="2">SUM(G8:G13)</f>
        <v>1176497.9649999999</v>
      </c>
      <c r="H14" s="97">
        <f t="shared" si="2"/>
        <v>535660.38500000001</v>
      </c>
      <c r="I14" s="97">
        <f t="shared" si="2"/>
        <v>535660.38500000001</v>
      </c>
    </row>
    <row r="15" spans="1:29" ht="14.25" customHeight="1"/>
    <row r="16" spans="1:29" ht="14.25" customHeight="1">
      <c r="E16" s="322" t="s">
        <v>21</v>
      </c>
      <c r="F16" s="322"/>
      <c r="G16" s="322"/>
      <c r="H16" s="46">
        <f>H14/F14</f>
        <v>0.2757711829960014</v>
      </c>
    </row>
    <row r="17" spans="11:11" ht="14.25" customHeight="1"/>
    <row r="18" spans="11:11" ht="14.25" customHeight="1"/>
    <row r="19" spans="11:11" ht="14.25" customHeight="1"/>
    <row r="20" spans="11:11" ht="14.25" customHeight="1">
      <c r="K20" s="169"/>
    </row>
    <row r="21" spans="11:11" ht="14.25" customHeight="1"/>
    <row r="22" spans="11:11" ht="14.25" customHeight="1"/>
    <row r="23" spans="11:11" ht="14.25" customHeight="1"/>
    <row r="24" spans="11:11" ht="14.25" customHeight="1"/>
    <row r="25" spans="11:11" ht="14.25" customHeight="1"/>
    <row r="26" spans="11:11" ht="14.25" customHeight="1"/>
    <row r="27" spans="11:11" ht="14.25" customHeight="1"/>
    <row r="28" spans="11:11" ht="14.25" customHeight="1"/>
    <row r="29" spans="11:11" ht="14.25" customHeight="1"/>
    <row r="30" spans="11:11" ht="14.25" customHeight="1"/>
    <row r="31" spans="11:11" ht="14.25" customHeight="1"/>
    <row r="32" spans="11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A1:K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J4:J5"/>
    <mergeCell ref="B4:B5"/>
    <mergeCell ref="E16:G16"/>
    <mergeCell ref="D7:E7"/>
    <mergeCell ref="G4:G5"/>
    <mergeCell ref="H4:H5"/>
    <mergeCell ref="D13:E13"/>
    <mergeCell ref="D8:E8"/>
    <mergeCell ref="D9:E9"/>
    <mergeCell ref="D10:E10"/>
    <mergeCell ref="D12:E12"/>
    <mergeCell ref="D11:E11"/>
  </mergeCells>
  <pageMargins left="0.23622047244094491" right="0.23622047244094491" top="0.74803149606299213" bottom="0.74803149606299213" header="0.31496062992125984" footer="0.31496062992125984"/>
  <pageSetup scale="65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1574A-D8D9-42BD-ADD9-B75A48E34FE6}">
          <x14:formula1>
            <xm:f>Hoja1!$B$3:$B$4</xm:f>
          </x14:formula1>
          <xm:sqref>B8:B13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997"/>
  <sheetViews>
    <sheetView zoomScale="86" zoomScaleNormal="100" workbookViewId="0">
      <selection activeCell="D12" sqref="D12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7.0976562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29" ht="14.25" customHeight="1">
      <c r="A1" s="333" t="s">
        <v>211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29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29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29" ht="14.25" customHeight="1" thickTop="1" thickBot="1">
      <c r="A4" s="343" t="s">
        <v>0</v>
      </c>
      <c r="B4" s="353"/>
      <c r="C4" s="345">
        <v>1</v>
      </c>
      <c r="D4" s="347" t="s">
        <v>2</v>
      </c>
      <c r="E4" s="348">
        <v>1575000</v>
      </c>
      <c r="F4" s="326" t="s">
        <v>3</v>
      </c>
      <c r="G4" s="326">
        <f>H8*M8+H9*M9+H10*M10+H11*M11</f>
        <v>1256360.2339999999</v>
      </c>
      <c r="H4" s="328" t="s">
        <v>4</v>
      </c>
      <c r="I4" s="328">
        <f>E4-G4</f>
        <v>318639.76600000006</v>
      </c>
      <c r="J4" s="351"/>
      <c r="K4" s="33" t="s">
        <v>5</v>
      </c>
      <c r="L4" s="349">
        <f>G4/E4</f>
        <v>0.79768903746031738</v>
      </c>
      <c r="M4" s="350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AVERAGE(M8:M10)</f>
        <v>0.66666666666666663</v>
      </c>
      <c r="M5" s="350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29" ht="25.35">
      <c r="A7" s="7" t="s">
        <v>7</v>
      </c>
      <c r="B7" s="7" t="s">
        <v>228</v>
      </c>
      <c r="C7" s="7" t="s">
        <v>8</v>
      </c>
      <c r="D7" s="324" t="s">
        <v>9</v>
      </c>
      <c r="E7" s="325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33" customHeight="1">
      <c r="A8" s="17">
        <v>1</v>
      </c>
      <c r="B8" s="39">
        <v>2025</v>
      </c>
      <c r="C8" s="52" t="s">
        <v>27</v>
      </c>
      <c r="D8" s="395" t="s">
        <v>28</v>
      </c>
      <c r="E8" s="355"/>
      <c r="F8" s="92">
        <f>50225.41/1.16</f>
        <v>43297.767241379319</v>
      </c>
      <c r="G8" s="93">
        <v>37204.01</v>
      </c>
      <c r="H8" s="93">
        <v>7496.61</v>
      </c>
      <c r="I8" s="94">
        <f t="shared" ref="I8:I9" si="0">H8/2</f>
        <v>3748.3049999999998</v>
      </c>
      <c r="J8" s="32">
        <f>H8/F8</f>
        <v>0.17314079865151918</v>
      </c>
      <c r="K8" s="18" t="s">
        <v>19</v>
      </c>
      <c r="L8" s="32">
        <v>1</v>
      </c>
      <c r="M8" s="32">
        <v>0</v>
      </c>
    </row>
    <row r="9" spans="1:29" ht="78.05" customHeight="1">
      <c r="A9" s="19">
        <v>2</v>
      </c>
      <c r="B9" s="40">
        <v>2025</v>
      </c>
      <c r="C9" s="53" t="s">
        <v>29</v>
      </c>
      <c r="D9" s="396" t="s">
        <v>163</v>
      </c>
      <c r="E9" s="396"/>
      <c r="F9" s="99">
        <f>2443923.89/1.16</f>
        <v>2106830.9396551726</v>
      </c>
      <c r="G9" s="100">
        <v>1458492.95</v>
      </c>
      <c r="H9" s="100">
        <v>655495.23</v>
      </c>
      <c r="I9" s="101">
        <f t="shared" si="0"/>
        <v>327747.61499999999</v>
      </c>
      <c r="J9" s="55">
        <f>H9/F9</f>
        <v>0.31112853796768603</v>
      </c>
      <c r="K9" s="20" t="s">
        <v>22</v>
      </c>
      <c r="L9" s="55">
        <v>1</v>
      </c>
      <c r="M9" s="55">
        <v>1</v>
      </c>
    </row>
    <row r="10" spans="1:29" ht="88.7" customHeight="1">
      <c r="A10" s="17">
        <v>3</v>
      </c>
      <c r="B10" s="39">
        <v>2025</v>
      </c>
      <c r="C10" s="52" t="s">
        <v>162</v>
      </c>
      <c r="D10" s="373" t="s">
        <v>163</v>
      </c>
      <c r="E10" s="373"/>
      <c r="F10" s="92">
        <f>1309514.09/1.16</f>
        <v>1128891.4568965519</v>
      </c>
      <c r="G10" s="93">
        <v>750000</v>
      </c>
      <c r="H10" s="93">
        <v>340304.2</v>
      </c>
      <c r="I10" s="94">
        <f>H10/2</f>
        <v>170152.1</v>
      </c>
      <c r="J10" s="32">
        <f>H10/F10</f>
        <v>0.30144988512494736</v>
      </c>
      <c r="K10" s="18" t="s">
        <v>22</v>
      </c>
      <c r="L10" s="32">
        <v>1</v>
      </c>
      <c r="M10" s="32">
        <v>1</v>
      </c>
    </row>
    <row r="11" spans="1:29" ht="52.7" customHeight="1">
      <c r="A11" s="19">
        <v>4</v>
      </c>
      <c r="B11" s="40">
        <v>2026</v>
      </c>
      <c r="C11" s="53" t="s">
        <v>264</v>
      </c>
      <c r="D11" s="397" t="s">
        <v>393</v>
      </c>
      <c r="E11" s="397"/>
      <c r="F11" s="99">
        <f>1648245.87/1.16</f>
        <v>1420901.6120689658</v>
      </c>
      <c r="G11" s="100">
        <f>955744.93+82843.08</f>
        <v>1038588.01</v>
      </c>
      <c r="H11" s="291">
        <v>372229.72</v>
      </c>
      <c r="I11" s="101">
        <f t="shared" ref="I11" si="1">H11/2</f>
        <v>186114.86</v>
      </c>
      <c r="J11" s="55">
        <f>H11/F11</f>
        <v>0.26196727263754643</v>
      </c>
      <c r="K11" s="20" t="s">
        <v>22</v>
      </c>
      <c r="L11" s="55">
        <v>1</v>
      </c>
      <c r="M11" s="55">
        <v>0.7</v>
      </c>
    </row>
    <row r="12" spans="1:29" ht="14.25" customHeight="1">
      <c r="E12" s="96" t="s">
        <v>20</v>
      </c>
      <c r="F12" s="97">
        <f>SUM(F8:F11)</f>
        <v>4699921.7758620698</v>
      </c>
      <c r="G12" s="97">
        <f t="shared" ref="G12:I12" si="2">SUM(G8:G11)</f>
        <v>3284284.9699999997</v>
      </c>
      <c r="H12" s="97">
        <f t="shared" si="2"/>
        <v>1375525.76</v>
      </c>
      <c r="I12" s="97">
        <f t="shared" si="2"/>
        <v>687762.88</v>
      </c>
    </row>
    <row r="13" spans="1:29" ht="14.25" customHeight="1"/>
    <row r="14" spans="1:29" ht="14.25" customHeight="1">
      <c r="E14" s="394" t="s">
        <v>21</v>
      </c>
      <c r="F14" s="394"/>
      <c r="G14" s="394"/>
      <c r="H14" s="46">
        <f>H12/F12</f>
        <v>0.29266992635163552</v>
      </c>
    </row>
    <row r="15" spans="1:29" ht="14.25" customHeight="1"/>
    <row r="16" spans="1:2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1">
    <mergeCell ref="A1:K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J4:J5"/>
    <mergeCell ref="B4:B5"/>
    <mergeCell ref="E14:G14"/>
    <mergeCell ref="D7:E7"/>
    <mergeCell ref="G4:G5"/>
    <mergeCell ref="H4:H5"/>
    <mergeCell ref="D8:E8"/>
    <mergeCell ref="D9:E9"/>
    <mergeCell ref="D10:E10"/>
    <mergeCell ref="D11:E11"/>
  </mergeCells>
  <phoneticPr fontId="34" type="noConversion"/>
  <pageMargins left="0.23622047244094491" right="0.23622047244094491" top="0.74803149606299213" bottom="0.74803149606299213" header="0.31496062992125984" footer="0.31496062992125984"/>
  <pageSetup scale="65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26429B-A1FD-441F-8CDA-8B236F26AF4E}">
          <x14:formula1>
            <xm:f>Hoja1!$B$3:$B$4</xm:f>
          </x14:formula1>
          <xm:sqref>B8:B11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001"/>
  <sheetViews>
    <sheetView zoomScale="80" zoomScaleNormal="80" workbookViewId="0">
      <selection activeCell="D15" sqref="D15"/>
    </sheetView>
  </sheetViews>
  <sheetFormatPr baseColWidth="10" defaultColWidth="14.3984375" defaultRowHeight="15" customHeight="1"/>
  <cols>
    <col min="1" max="2" width="8.69921875" style="63" customWidth="1"/>
    <col min="3" max="3" width="22.296875" customWidth="1"/>
    <col min="4" max="4" width="20.296875" customWidth="1"/>
    <col min="5" max="5" width="12.69921875" customWidth="1"/>
    <col min="6" max="6" width="17.296875" style="74" customWidth="1"/>
    <col min="7" max="7" width="17.69921875" style="74" bestFit="1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14" width="10.69921875" customWidth="1"/>
    <col min="15" max="15" width="12.69921875" hidden="1" customWidth="1"/>
    <col min="16" max="16" width="14.09765625" hidden="1" customWidth="1"/>
    <col min="17" max="17" width="21.296875" hidden="1" customWidth="1"/>
    <col min="18" max="29" width="10.69921875" customWidth="1"/>
  </cols>
  <sheetData>
    <row r="1" spans="1:17" ht="14.25" customHeight="1">
      <c r="A1" s="333" t="s">
        <v>212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7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7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7" ht="14.25" customHeight="1" thickTop="1" thickBot="1">
      <c r="A4" s="343" t="s">
        <v>0</v>
      </c>
      <c r="B4" s="353"/>
      <c r="C4" s="345">
        <v>1</v>
      </c>
      <c r="D4" s="347" t="s">
        <v>2</v>
      </c>
      <c r="E4" s="348">
        <v>2000000</v>
      </c>
      <c r="F4" s="326" t="s">
        <v>3</v>
      </c>
      <c r="G4" s="326">
        <f>H8*M8+H9*M9+H10*M10+H11*M11+H12*M12+H13*M13+H14*M14</f>
        <v>5032722.115602199</v>
      </c>
      <c r="H4" s="328" t="s">
        <v>30</v>
      </c>
      <c r="I4" s="328">
        <f>H15-E4</f>
        <v>4560703.5932043996</v>
      </c>
      <c r="J4" s="351"/>
      <c r="K4" s="33" t="s">
        <v>5</v>
      </c>
      <c r="L4" s="349">
        <f>G4/E4</f>
        <v>2.5163610578010993</v>
      </c>
      <c r="M4" s="350"/>
    </row>
    <row r="5" spans="1:17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AVERAGE(M8:M11)</f>
        <v>1</v>
      </c>
      <c r="M5" s="350"/>
    </row>
    <row r="6" spans="1:17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7" ht="25.35">
      <c r="A7" s="7" t="s">
        <v>7</v>
      </c>
      <c r="B7" s="7" t="s">
        <v>228</v>
      </c>
      <c r="C7" s="7" t="s">
        <v>8</v>
      </c>
      <c r="D7" s="324" t="s">
        <v>9</v>
      </c>
      <c r="E7" s="325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7" ht="25.5" customHeight="1">
      <c r="A8" s="8">
        <v>1</v>
      </c>
      <c r="B8" s="40">
        <v>2025</v>
      </c>
      <c r="C8" s="53" t="s">
        <v>31</v>
      </c>
      <c r="D8" s="329" t="s">
        <v>18</v>
      </c>
      <c r="E8" s="329"/>
      <c r="F8" s="102">
        <f>2619983.82/1.16</f>
        <v>2258606.7413793104</v>
      </c>
      <c r="G8" s="67">
        <v>580000</v>
      </c>
      <c r="H8" s="67">
        <v>299950.43</v>
      </c>
      <c r="I8" s="68">
        <f t="shared" ref="I8:I10" si="0">H8/2</f>
        <v>149975.215</v>
      </c>
      <c r="J8" s="30">
        <f>H8/F8</f>
        <v>0.13280330059442885</v>
      </c>
      <c r="K8" s="10" t="s">
        <v>22</v>
      </c>
      <c r="L8" s="30">
        <v>1</v>
      </c>
      <c r="M8" s="30">
        <v>1</v>
      </c>
    </row>
    <row r="9" spans="1:17" ht="25.5" customHeight="1">
      <c r="A9" s="13">
        <v>2</v>
      </c>
      <c r="B9" s="39">
        <v>2025</v>
      </c>
      <c r="C9" s="52" t="s">
        <v>31</v>
      </c>
      <c r="D9" s="330" t="s">
        <v>18</v>
      </c>
      <c r="E9" s="330"/>
      <c r="F9" s="103">
        <f>8969013.43/1.16</f>
        <v>7731908.1293103453</v>
      </c>
      <c r="G9" s="86">
        <v>3331600</v>
      </c>
      <c r="H9" s="86">
        <v>1409110.46</v>
      </c>
      <c r="I9" s="87">
        <f t="shared" si="0"/>
        <v>704555.23</v>
      </c>
      <c r="J9" s="38">
        <f>H9/F9</f>
        <v>0.18224614628545605</v>
      </c>
      <c r="K9" s="16" t="s">
        <v>22</v>
      </c>
      <c r="L9" s="38">
        <v>1</v>
      </c>
      <c r="M9" s="38">
        <v>1</v>
      </c>
    </row>
    <row r="10" spans="1:17" ht="63.65" customHeight="1">
      <c r="A10" s="8">
        <v>3</v>
      </c>
      <c r="B10" s="40">
        <v>2025</v>
      </c>
      <c r="C10" s="139" t="s">
        <v>32</v>
      </c>
      <c r="D10" s="323" t="s">
        <v>18</v>
      </c>
      <c r="E10" s="323"/>
      <c r="F10" s="102">
        <f>3730600/1.16</f>
        <v>3216034.4827586208</v>
      </c>
      <c r="G10" s="67">
        <v>1000000</v>
      </c>
      <c r="H10" s="67">
        <f>433381.02+150000</f>
        <v>583381.02</v>
      </c>
      <c r="I10" s="68">
        <f t="shared" si="0"/>
        <v>291690.51</v>
      </c>
      <c r="J10" s="30">
        <f>H10/F10</f>
        <v>0.18139762590468023</v>
      </c>
      <c r="K10" s="10" t="s">
        <v>22</v>
      </c>
      <c r="L10" s="30">
        <v>1</v>
      </c>
      <c r="M10" s="12">
        <v>1</v>
      </c>
      <c r="O10" s="192" t="s">
        <v>170</v>
      </c>
      <c r="P10" s="192" t="s">
        <v>171</v>
      </c>
      <c r="Q10" s="192" t="s">
        <v>172</v>
      </c>
    </row>
    <row r="11" spans="1:17" ht="74.3" customHeight="1">
      <c r="A11" s="13">
        <v>4</v>
      </c>
      <c r="B11" s="39">
        <v>2025</v>
      </c>
      <c r="C11" s="52" t="s">
        <v>133</v>
      </c>
      <c r="D11" s="330" t="s">
        <v>18</v>
      </c>
      <c r="E11" s="330"/>
      <c r="F11" s="103">
        <f>4099653.4/1.16</f>
        <v>3534183.9655172415</v>
      </c>
      <c r="G11" s="86">
        <v>2675790.7799999998</v>
      </c>
      <c r="H11" s="86">
        <v>997636.32</v>
      </c>
      <c r="I11" s="87">
        <f>H11/2</f>
        <v>498818.16</v>
      </c>
      <c r="J11" s="38">
        <v>0.22</v>
      </c>
      <c r="K11" s="16" t="s">
        <v>22</v>
      </c>
      <c r="L11" s="38">
        <v>1</v>
      </c>
      <c r="M11" s="38">
        <v>1</v>
      </c>
      <c r="O11" s="74">
        <f>+F11*1.16</f>
        <v>4099653.4</v>
      </c>
      <c r="P11" s="169">
        <v>3534183.97</v>
      </c>
      <c r="Q11" s="56">
        <f>+O11-P11</f>
        <v>565469.4299999997</v>
      </c>
    </row>
    <row r="12" spans="1:17" ht="58.2" customHeight="1">
      <c r="A12" s="8">
        <v>5</v>
      </c>
      <c r="B12" s="40">
        <v>2026</v>
      </c>
      <c r="C12" s="139" t="s">
        <v>226</v>
      </c>
      <c r="D12" s="323" t="s">
        <v>356</v>
      </c>
      <c r="E12" s="323"/>
      <c r="F12" s="102">
        <f>3769722.18/1.16</f>
        <v>3249760.5000000005</v>
      </c>
      <c r="G12" s="67">
        <v>2600894.44</v>
      </c>
      <c r="H12" s="67">
        <v>773656.86</v>
      </c>
      <c r="I12" s="68">
        <f>H12/2</f>
        <v>386828.43</v>
      </c>
      <c r="J12" s="30">
        <v>0.21</v>
      </c>
      <c r="K12" s="10" t="s">
        <v>22</v>
      </c>
      <c r="L12" s="30">
        <v>1</v>
      </c>
      <c r="M12" s="12">
        <v>1</v>
      </c>
      <c r="O12" s="74"/>
      <c r="P12" s="169"/>
      <c r="Q12" s="56"/>
    </row>
    <row r="13" spans="1:17" ht="54" customHeight="1">
      <c r="A13" s="13">
        <v>6</v>
      </c>
      <c r="B13" s="39">
        <v>2026</v>
      </c>
      <c r="C13" s="52" t="s">
        <v>304</v>
      </c>
      <c r="D13" s="331" t="s">
        <v>385</v>
      </c>
      <c r="E13" s="331"/>
      <c r="F13" s="103">
        <f>4699433.26/1.16</f>
        <v>4051235.5689655175</v>
      </c>
      <c r="G13" s="86">
        <f>2990522.34+102700</f>
        <v>3093222.34</v>
      </c>
      <c r="H13" s="86">
        <v>1099482.3732043998</v>
      </c>
      <c r="I13" s="87">
        <f>H13/2</f>
        <v>549741.18660219992</v>
      </c>
      <c r="J13" s="38">
        <v>0.22</v>
      </c>
      <c r="K13" s="16" t="s">
        <v>22</v>
      </c>
      <c r="L13" s="38">
        <v>0.9</v>
      </c>
      <c r="M13" s="38">
        <v>0.5</v>
      </c>
      <c r="O13" s="74"/>
      <c r="P13" s="169"/>
      <c r="Q13" s="56"/>
    </row>
    <row r="14" spans="1:17" ht="55.9" customHeight="1">
      <c r="A14" s="8">
        <v>7</v>
      </c>
      <c r="B14" s="40">
        <v>2026</v>
      </c>
      <c r="C14" s="139" t="s">
        <v>327</v>
      </c>
      <c r="D14" s="332" t="s">
        <v>398</v>
      </c>
      <c r="E14" s="332"/>
      <c r="F14" s="102">
        <f>5699710.99/1.16</f>
        <v>4913543.9568965519</v>
      </c>
      <c r="G14" s="67">
        <f>3565000+98700</f>
        <v>3663700</v>
      </c>
      <c r="H14" s="67">
        <v>1397486.13</v>
      </c>
      <c r="I14" s="68">
        <f>H14/2</f>
        <v>698743.06499999994</v>
      </c>
      <c r="J14" s="30">
        <v>0.25</v>
      </c>
      <c r="K14" s="10" t="s">
        <v>22</v>
      </c>
      <c r="L14" s="30">
        <v>0.8</v>
      </c>
      <c r="M14" s="12">
        <v>0.3</v>
      </c>
      <c r="O14" s="74"/>
      <c r="P14" s="169"/>
      <c r="Q14" s="56"/>
    </row>
    <row r="15" spans="1:17" ht="14.25" customHeight="1">
      <c r="E15" s="11" t="s">
        <v>20</v>
      </c>
      <c r="F15" s="73">
        <f>SUM(F8:F14)</f>
        <v>28955273.344827589</v>
      </c>
      <c r="G15" s="73">
        <f t="shared" ref="G15:I15" si="1">SUM(G8:G14)</f>
        <v>16945207.559999999</v>
      </c>
      <c r="H15" s="73">
        <f t="shared" si="1"/>
        <v>6560703.5932043996</v>
      </c>
      <c r="I15" s="73">
        <f t="shared" si="1"/>
        <v>3280351.7966021998</v>
      </c>
      <c r="K15" s="56"/>
    </row>
    <row r="16" spans="1:17" ht="14.25" customHeight="1">
      <c r="K16" s="56"/>
    </row>
    <row r="17" spans="4:11" ht="14.25" customHeight="1">
      <c r="D17" s="169"/>
      <c r="E17" s="322" t="s">
        <v>21</v>
      </c>
      <c r="F17" s="322"/>
      <c r="G17" s="322"/>
      <c r="H17" s="46">
        <f>H15/F15</f>
        <v>0.22658061331603238</v>
      </c>
      <c r="K17" s="56"/>
    </row>
    <row r="18" spans="4:11" ht="14.25" customHeight="1">
      <c r="K18" s="56"/>
    </row>
    <row r="19" spans="4:11" ht="14.25" customHeight="1"/>
    <row r="20" spans="4:11" ht="14.25" customHeight="1"/>
    <row r="21" spans="4:11" ht="14.25" customHeight="1"/>
    <row r="22" spans="4:11" ht="14.25" customHeight="1"/>
    <row r="23" spans="4:11" ht="14.25" customHeight="1"/>
    <row r="24" spans="4:11" ht="14.25" customHeight="1"/>
    <row r="25" spans="4:11" ht="14.25" customHeight="1"/>
    <row r="26" spans="4:11" ht="14.25" customHeight="1"/>
    <row r="27" spans="4:11" ht="14.25" customHeight="1"/>
    <row r="28" spans="4:11" ht="14.25" customHeight="1"/>
    <row r="29" spans="4:11" ht="14.25" customHeight="1"/>
    <row r="30" spans="4:11" ht="14.25" customHeight="1"/>
    <row r="31" spans="4:11" ht="14.25" customHeight="1"/>
    <row r="32" spans="4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4">
    <mergeCell ref="A1:K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J4:J5"/>
    <mergeCell ref="B4:B5"/>
    <mergeCell ref="E17:G17"/>
    <mergeCell ref="D10:E10"/>
    <mergeCell ref="D7:E7"/>
    <mergeCell ref="G4:G5"/>
    <mergeCell ref="H4:H5"/>
    <mergeCell ref="D8:E8"/>
    <mergeCell ref="D9:E9"/>
    <mergeCell ref="D11:E11"/>
    <mergeCell ref="D12:E12"/>
    <mergeCell ref="D13:E13"/>
    <mergeCell ref="D14:E14"/>
  </mergeCells>
  <pageMargins left="0.23622047244094491" right="0.23622047244094491" top="0.74803149606299213" bottom="0.74803149606299213" header="0.31496062992125984" footer="0.31496062992125984"/>
  <pageSetup scale="68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6DDAA7E-C691-47AD-AAD2-F0213FD64C2D}">
          <x14:formula1>
            <xm:f>Hoja1!$B$3:$B$4</xm:f>
          </x14:formula1>
          <xm:sqref>B8:B14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95"/>
  <sheetViews>
    <sheetView zoomScale="80" zoomScaleNormal="80" workbookViewId="0">
      <selection activeCell="C8" sqref="C8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33" t="s">
        <v>213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 t="s">
        <v>1</v>
      </c>
      <c r="F4" s="326" t="s">
        <v>3</v>
      </c>
      <c r="G4" s="326" t="s">
        <v>1</v>
      </c>
      <c r="H4" s="328" t="s">
        <v>30</v>
      </c>
      <c r="I4" s="328">
        <f>H9</f>
        <v>1095045.03</v>
      </c>
      <c r="J4" s="351"/>
      <c r="K4" s="33" t="s">
        <v>5</v>
      </c>
      <c r="L4" s="401" t="s">
        <v>1</v>
      </c>
      <c r="M4" s="402"/>
    </row>
    <row r="5" spans="1:13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M8</f>
        <v>1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3" ht="25.35">
      <c r="A7" s="7" t="s">
        <v>7</v>
      </c>
      <c r="B7" s="7" t="s">
        <v>228</v>
      </c>
      <c r="C7" s="7" t="s">
        <v>8</v>
      </c>
      <c r="D7" s="362" t="s">
        <v>9</v>
      </c>
      <c r="E7" s="363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36" customHeight="1">
      <c r="A8" s="22">
        <v>1</v>
      </c>
      <c r="B8" s="40">
        <v>2025</v>
      </c>
      <c r="C8" s="23" t="s">
        <v>33</v>
      </c>
      <c r="D8" s="399" t="s">
        <v>165</v>
      </c>
      <c r="E8" s="400"/>
      <c r="F8" s="84">
        <f>6087912/1.16</f>
        <v>5248200</v>
      </c>
      <c r="G8" s="84">
        <v>3510725.27</v>
      </c>
      <c r="H8" s="84">
        <v>1095045.03</v>
      </c>
      <c r="I8" s="85">
        <f>H8</f>
        <v>1095045.03</v>
      </c>
      <c r="J8" s="35">
        <f>H8/F8</f>
        <v>0.20865154338630387</v>
      </c>
      <c r="K8" s="26" t="s">
        <v>22</v>
      </c>
      <c r="L8" s="31">
        <v>1</v>
      </c>
      <c r="M8" s="31">
        <v>1</v>
      </c>
    </row>
    <row r="9" spans="1:13" ht="16.149999999999999">
      <c r="E9" s="11" t="s">
        <v>20</v>
      </c>
      <c r="F9" s="73">
        <f>SUM(F8:F8)</f>
        <v>5248200</v>
      </c>
      <c r="G9" s="73">
        <f>SUM(G8:G8)</f>
        <v>3510725.27</v>
      </c>
      <c r="H9" s="73">
        <f>SUM(H8:H8)</f>
        <v>1095045.03</v>
      </c>
      <c r="I9" s="73">
        <f>SUM(I8:I8)</f>
        <v>1095045.03</v>
      </c>
    </row>
    <row r="11" spans="1:13" s="63" customFormat="1" ht="14.4">
      <c r="E11" s="398" t="s">
        <v>21</v>
      </c>
      <c r="F11" s="398"/>
      <c r="G11" s="398"/>
      <c r="H11" s="46">
        <f>H9/F9</f>
        <v>0.20865154338630387</v>
      </c>
      <c r="I11" s="83"/>
    </row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8">
    <mergeCell ref="J4:J5"/>
    <mergeCell ref="B4:B5"/>
    <mergeCell ref="E11:G11"/>
    <mergeCell ref="A1:K2"/>
    <mergeCell ref="D8:E8"/>
    <mergeCell ref="D7:E7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G4:G5"/>
    <mergeCell ref="H4:H5"/>
  </mergeCells>
  <pageMargins left="0.23622047244094491" right="0.23622047244094491" top="0.74803149606299213" bottom="0.74803149606299213" header="0.31496062992125984" footer="0.31496062992125984"/>
  <pageSetup scale="65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422B14-E954-4AB1-A737-693D963723C8}">
          <x14:formula1>
            <xm:f>Hoja1!$B$3:$B$4</xm:f>
          </x14:formula1>
          <xm:sqref>B8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997"/>
  <sheetViews>
    <sheetView topLeftCell="B7" zoomScale="90" zoomScaleNormal="90" workbookViewId="0">
      <selection activeCell="D12" sqref="D12:E12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4" width="28.09765625" customWidth="1"/>
    <col min="5" max="5" width="24.3984375" customWidth="1"/>
    <col min="6" max="6" width="17.296875" style="74" customWidth="1"/>
    <col min="7" max="7" width="15.296875" style="74" customWidth="1"/>
    <col min="8" max="8" width="16.69921875" style="74" customWidth="1"/>
    <col min="9" max="9" width="17.39843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33" t="s">
        <v>214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>
        <v>3000000</v>
      </c>
      <c r="F4" s="326" t="s">
        <v>3</v>
      </c>
      <c r="G4" s="326">
        <f>H8+M8+H9*M9+H10*M10+H11*M11+H12*M12</f>
        <v>10742197.02</v>
      </c>
      <c r="H4" s="328" t="s">
        <v>30</v>
      </c>
      <c r="I4" s="328">
        <f>H13-E4</f>
        <v>7742196.0199999996</v>
      </c>
      <c r="J4" s="351"/>
      <c r="K4" s="33" t="s">
        <v>5</v>
      </c>
      <c r="L4" s="349">
        <f>G4/E4</f>
        <v>3.58073234</v>
      </c>
      <c r="M4" s="350"/>
    </row>
    <row r="5" spans="1:13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AVERAGE(M8:M11)</f>
        <v>1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3" ht="25.35">
      <c r="A7" s="7" t="s">
        <v>7</v>
      </c>
      <c r="B7" s="7" t="s">
        <v>228</v>
      </c>
      <c r="C7" s="7" t="s">
        <v>8</v>
      </c>
      <c r="D7" s="324" t="s">
        <v>9</v>
      </c>
      <c r="E7" s="325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25.95" customHeight="1">
      <c r="A8" s="17">
        <v>1</v>
      </c>
      <c r="B8" s="39">
        <v>2025</v>
      </c>
      <c r="C8" s="52" t="s">
        <v>34</v>
      </c>
      <c r="D8" s="330" t="s">
        <v>18</v>
      </c>
      <c r="E8" s="330"/>
      <c r="F8" s="92">
        <v>1500000</v>
      </c>
      <c r="G8" s="93">
        <v>950000</v>
      </c>
      <c r="H8" s="93">
        <v>272000</v>
      </c>
      <c r="I8" s="94">
        <f t="shared" ref="I8:I9" si="0">H8</f>
        <v>272000</v>
      </c>
      <c r="J8" s="32">
        <f>H8/F8</f>
        <v>0.18133333333333335</v>
      </c>
      <c r="K8" s="18" t="s">
        <v>19</v>
      </c>
      <c r="L8" s="32">
        <v>1</v>
      </c>
      <c r="M8" s="32">
        <v>1</v>
      </c>
    </row>
    <row r="9" spans="1:13" ht="25.95" customHeight="1">
      <c r="A9" s="19">
        <v>2</v>
      </c>
      <c r="B9" s="40">
        <v>2025</v>
      </c>
      <c r="C9" s="53" t="s">
        <v>35</v>
      </c>
      <c r="D9" s="329" t="s">
        <v>18</v>
      </c>
      <c r="E9" s="329"/>
      <c r="F9" s="99">
        <v>290000</v>
      </c>
      <c r="G9" s="100">
        <v>180000</v>
      </c>
      <c r="H9" s="100">
        <v>55700</v>
      </c>
      <c r="I9" s="101">
        <f t="shared" si="0"/>
        <v>55700</v>
      </c>
      <c r="J9" s="59">
        <f>H9/F9</f>
        <v>0.19206896551724137</v>
      </c>
      <c r="K9" s="20" t="s">
        <v>19</v>
      </c>
      <c r="L9" s="55">
        <v>1</v>
      </c>
      <c r="M9" s="55">
        <v>1</v>
      </c>
    </row>
    <row r="10" spans="1:13" ht="46.55" customHeight="1">
      <c r="A10" s="17">
        <v>3</v>
      </c>
      <c r="B10" s="39">
        <v>2025</v>
      </c>
      <c r="C10" s="52" t="s">
        <v>36</v>
      </c>
      <c r="D10" s="355" t="s">
        <v>252</v>
      </c>
      <c r="E10" s="355"/>
      <c r="F10" s="92">
        <f>(40115000)*0.9-428000-1500000</f>
        <v>34175500</v>
      </c>
      <c r="G10" s="93">
        <f>2707985.33+12716312.21+7212431.44</f>
        <v>22636728.98</v>
      </c>
      <c r="H10" s="94">
        <f>1193766.57+5673412.79+3547316.66</f>
        <v>10414496.02</v>
      </c>
      <c r="I10" s="94">
        <f>H10</f>
        <v>10414496.02</v>
      </c>
      <c r="J10" s="32">
        <f>H10/F10</f>
        <v>0.30473573232286283</v>
      </c>
      <c r="K10" s="18" t="s">
        <v>19</v>
      </c>
      <c r="L10" s="60">
        <v>0.7</v>
      </c>
      <c r="M10" s="60">
        <v>1</v>
      </c>
    </row>
    <row r="11" spans="1:13" ht="78.650000000000006" customHeight="1">
      <c r="A11" s="19">
        <v>4</v>
      </c>
      <c r="B11" s="40">
        <v>2026</v>
      </c>
      <c r="C11" s="53" t="s">
        <v>37</v>
      </c>
      <c r="D11" s="332" t="s">
        <v>394</v>
      </c>
      <c r="E11" s="332"/>
      <c r="F11" s="99"/>
      <c r="G11" s="98"/>
      <c r="H11" s="100"/>
      <c r="I11" s="101"/>
      <c r="J11" s="59"/>
      <c r="K11" s="20" t="s">
        <v>305</v>
      </c>
      <c r="L11" s="20"/>
      <c r="M11" s="21"/>
    </row>
    <row r="12" spans="1:13" ht="58.2" customHeight="1">
      <c r="A12" s="17">
        <v>5</v>
      </c>
      <c r="B12" s="39">
        <v>2026</v>
      </c>
      <c r="C12" s="52" t="s">
        <v>253</v>
      </c>
      <c r="D12" s="355" t="s">
        <v>376</v>
      </c>
      <c r="E12" s="355"/>
      <c r="F12" s="92"/>
      <c r="G12" s="93"/>
      <c r="H12" s="94"/>
      <c r="I12" s="94"/>
      <c r="J12" s="32"/>
      <c r="K12" s="18" t="s">
        <v>19</v>
      </c>
      <c r="L12" s="60"/>
      <c r="M12" s="60"/>
    </row>
    <row r="13" spans="1:13" ht="16.149999999999999">
      <c r="E13" s="11" t="s">
        <v>20</v>
      </c>
      <c r="F13" s="73">
        <f>SUM(F8:F12)</f>
        <v>35965500</v>
      </c>
      <c r="G13" s="73">
        <f t="shared" ref="G13:I13" si="1">SUM(G8:G12)</f>
        <v>23766728.98</v>
      </c>
      <c r="H13" s="73">
        <f t="shared" si="1"/>
        <v>10742196.02</v>
      </c>
      <c r="I13" s="73">
        <f t="shared" si="1"/>
        <v>10742196.02</v>
      </c>
    </row>
    <row r="14" spans="1:13" ht="14.25" customHeight="1"/>
    <row r="15" spans="1:13" s="63" customFormat="1" ht="14.4">
      <c r="E15" s="398" t="s">
        <v>21</v>
      </c>
      <c r="F15" s="398"/>
      <c r="G15" s="398"/>
      <c r="H15" s="46">
        <f>H13/F13</f>
        <v>0.29868056943459703</v>
      </c>
      <c r="I15" s="83"/>
      <c r="M15" s="83"/>
    </row>
    <row r="16" spans="1:13" ht="14.25" customHeight="1"/>
    <row r="17" spans="9:9" ht="14.25" customHeight="1"/>
    <row r="18" spans="9:9" ht="14.25" customHeight="1"/>
    <row r="19" spans="9:9" ht="14.25" customHeight="1">
      <c r="I19" s="74">
        <f>7345000+4708710</f>
        <v>12053710</v>
      </c>
    </row>
    <row r="20" spans="9:9" ht="14.25" customHeight="1"/>
    <row r="21" spans="9:9" ht="14.25" customHeight="1"/>
    <row r="22" spans="9:9" ht="14.25" customHeight="1"/>
    <row r="23" spans="9:9" ht="14.25" customHeight="1"/>
    <row r="24" spans="9:9" ht="14.25" customHeight="1"/>
    <row r="25" spans="9:9" ht="14.25" customHeight="1"/>
    <row r="26" spans="9:9" ht="14.25" customHeight="1"/>
    <row r="27" spans="9:9" ht="14.25" customHeight="1"/>
    <row r="28" spans="9:9" ht="14.25" customHeight="1"/>
    <row r="29" spans="9:9" ht="14.25" customHeight="1"/>
    <row r="30" spans="9:9" ht="14.25" customHeight="1"/>
    <row r="31" spans="9:9" ht="14.25" customHeight="1"/>
    <row r="32" spans="9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22">
    <mergeCell ref="D10:E10"/>
    <mergeCell ref="D11:E11"/>
    <mergeCell ref="D7:E7"/>
    <mergeCell ref="E15:G15"/>
    <mergeCell ref="D8:E8"/>
    <mergeCell ref="D9:E9"/>
    <mergeCell ref="D12:E12"/>
    <mergeCell ref="M1:M2"/>
    <mergeCell ref="D4:D5"/>
    <mergeCell ref="E4:E5"/>
    <mergeCell ref="F4:F5"/>
    <mergeCell ref="I4:I5"/>
    <mergeCell ref="L1:L2"/>
    <mergeCell ref="L4:M4"/>
    <mergeCell ref="L5:M5"/>
    <mergeCell ref="G4:G5"/>
    <mergeCell ref="H4:H5"/>
    <mergeCell ref="A1:K2"/>
    <mergeCell ref="A4:A5"/>
    <mergeCell ref="C4:C5"/>
    <mergeCell ref="J4:J5"/>
    <mergeCell ref="B4:B5"/>
  </mergeCells>
  <pageMargins left="0.23622047244094491" right="0.23622047244094491" top="0.74803149606299213" bottom="0.74803149606299213" header="0.31496062992125984" footer="0.31496062992125984"/>
  <pageSetup scale="61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5145C0-592E-45BD-A261-2A92139F3546}">
          <x14:formula1>
            <xm:f>Hoja1!$B$3:$B$4</xm:f>
          </x14:formula1>
          <xm:sqref>B8:B12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993"/>
  <sheetViews>
    <sheetView topLeftCell="A13" zoomScale="70" zoomScaleNormal="70" workbookViewId="0">
      <selection activeCell="N20" sqref="N20"/>
    </sheetView>
  </sheetViews>
  <sheetFormatPr baseColWidth="10" defaultColWidth="14.3984375" defaultRowHeight="15" customHeight="1"/>
  <cols>
    <col min="1" max="2" width="8.69921875" style="63" customWidth="1"/>
    <col min="3" max="3" width="41.69921875" customWidth="1"/>
    <col min="4" max="4" width="20.296875" customWidth="1"/>
    <col min="5" max="5" width="30" customWidth="1"/>
    <col min="6" max="6" width="17.296875" style="74" customWidth="1"/>
    <col min="7" max="7" width="22" style="74" customWidth="1"/>
    <col min="8" max="8" width="16.69921875" style="74" customWidth="1"/>
    <col min="9" max="9" width="18.296875" style="74" customWidth="1"/>
    <col min="10" max="10" width="6.69921875" customWidth="1"/>
    <col min="11" max="11" width="26.59765625" bestFit="1" customWidth="1"/>
    <col min="12" max="12" width="17.59765625" customWidth="1"/>
    <col min="13" max="13" width="14.69921875" customWidth="1"/>
    <col min="14" max="14" width="12.69921875" bestFit="1" customWidth="1"/>
    <col min="15" max="15" width="14.09765625" bestFit="1" customWidth="1"/>
    <col min="16" max="17" width="14.296875" bestFit="1" customWidth="1"/>
    <col min="18" max="29" width="10.69921875" customWidth="1"/>
  </cols>
  <sheetData>
    <row r="1" spans="1:17" ht="14.25" customHeight="1">
      <c r="A1" s="333" t="s">
        <v>215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7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7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7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 t="s">
        <v>1</v>
      </c>
      <c r="F4" s="326" t="s">
        <v>105</v>
      </c>
      <c r="G4" s="326">
        <f>H8*M8+H9*M9+H10*M10+H11*M11+H12*M12+H13*M13+H14*M14+H15*M15+H16*M16+H17*M17</f>
        <v>4425683.1783848284</v>
      </c>
      <c r="H4" s="328" t="s">
        <v>30</v>
      </c>
      <c r="I4" s="328">
        <f>H18</f>
        <v>10468440.497710347</v>
      </c>
      <c r="J4" s="351"/>
      <c r="K4" s="33" t="s">
        <v>5</v>
      </c>
      <c r="L4" s="401" t="s">
        <v>1</v>
      </c>
      <c r="M4" s="402"/>
    </row>
    <row r="5" spans="1:17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AVERAGE(M8:M17)</f>
        <v>0.26</v>
      </c>
      <c r="M5" s="350"/>
    </row>
    <row r="6" spans="1:17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7" ht="25.35">
      <c r="A7" s="7" t="s">
        <v>7</v>
      </c>
      <c r="B7" s="7" t="s">
        <v>228</v>
      </c>
      <c r="C7" s="7" t="s">
        <v>8</v>
      </c>
      <c r="D7" s="324" t="s">
        <v>9</v>
      </c>
      <c r="E7" s="325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7" ht="29.95" customHeight="1">
      <c r="A8" s="17">
        <v>1</v>
      </c>
      <c r="B8" s="39">
        <v>2025</v>
      </c>
      <c r="C8" s="52" t="s">
        <v>38</v>
      </c>
      <c r="D8" s="403" t="s">
        <v>18</v>
      </c>
      <c r="E8" s="404"/>
      <c r="F8" s="92">
        <f>3452505.5/1.16</f>
        <v>2976297.8448275863</v>
      </c>
      <c r="G8" s="93">
        <v>2670115.83</v>
      </c>
      <c r="H8" s="93">
        <v>761555.64</v>
      </c>
      <c r="I8" s="94">
        <f t="shared" ref="I8:I17" si="0">H8</f>
        <v>761555.64</v>
      </c>
      <c r="J8" s="32">
        <f>H8/F8</f>
        <v>0.25587346418419898</v>
      </c>
      <c r="K8" s="18" t="s">
        <v>22</v>
      </c>
      <c r="L8" s="32">
        <v>1</v>
      </c>
      <c r="M8" s="32">
        <v>1</v>
      </c>
    </row>
    <row r="9" spans="1:17" ht="63.65" customHeight="1">
      <c r="A9" s="19">
        <f>A8+1</f>
        <v>2</v>
      </c>
      <c r="B9" s="40">
        <v>2025</v>
      </c>
      <c r="C9" s="53" t="s">
        <v>39</v>
      </c>
      <c r="D9" s="405" t="s">
        <v>254</v>
      </c>
      <c r="E9" s="406"/>
      <c r="F9" s="99">
        <f>1250283.9/1.16</f>
        <v>1077830.948275862</v>
      </c>
      <c r="G9" s="100">
        <v>714012.43</v>
      </c>
      <c r="H9" s="100">
        <v>282250.36</v>
      </c>
      <c r="I9" s="101">
        <f t="shared" si="0"/>
        <v>282250.36</v>
      </c>
      <c r="J9" s="55">
        <f>H9/F9</f>
        <v>0.26186885842487456</v>
      </c>
      <c r="K9" s="20" t="s">
        <v>22</v>
      </c>
      <c r="L9" s="55">
        <v>1</v>
      </c>
      <c r="M9" s="55">
        <v>0</v>
      </c>
    </row>
    <row r="10" spans="1:17" ht="45.65" customHeight="1">
      <c r="A10" s="17">
        <f t="shared" ref="A10:A17" si="1">A9+1</f>
        <v>3</v>
      </c>
      <c r="B10" s="39">
        <v>2025</v>
      </c>
      <c r="C10" s="52" t="s">
        <v>40</v>
      </c>
      <c r="D10" s="403" t="s">
        <v>254</v>
      </c>
      <c r="E10" s="404"/>
      <c r="F10" s="92">
        <f>215828.73/1.16</f>
        <v>186059.25000000003</v>
      </c>
      <c r="G10" s="93">
        <v>168547.91</v>
      </c>
      <c r="H10" s="93">
        <v>47741.3</v>
      </c>
      <c r="I10" s="94">
        <f t="shared" si="0"/>
        <v>47741.3</v>
      </c>
      <c r="J10" s="32">
        <f>H10/F10</f>
        <v>0.25659191897204786</v>
      </c>
      <c r="K10" s="18" t="s">
        <v>22</v>
      </c>
      <c r="L10" s="32">
        <v>1</v>
      </c>
      <c r="M10" s="32">
        <v>0</v>
      </c>
    </row>
    <row r="11" spans="1:17" ht="55.45" customHeight="1">
      <c r="A11" s="19">
        <f t="shared" si="1"/>
        <v>4</v>
      </c>
      <c r="B11" s="40">
        <v>2025</v>
      </c>
      <c r="C11" s="53" t="s">
        <v>41</v>
      </c>
      <c r="D11" s="407" t="s">
        <v>325</v>
      </c>
      <c r="E11" s="408"/>
      <c r="F11" s="99">
        <f>15552804.6/1.16</f>
        <v>13407590.172413794</v>
      </c>
      <c r="G11" s="100">
        <v>8616578.2499999981</v>
      </c>
      <c r="H11" s="100">
        <v>4880038.3211586215</v>
      </c>
      <c r="I11" s="101">
        <f t="shared" si="0"/>
        <v>4880038.3211586215</v>
      </c>
      <c r="J11" s="55">
        <f t="shared" ref="J11" si="2">H11/F11</f>
        <v>0.36397579717191331</v>
      </c>
      <c r="K11" s="20" t="s">
        <v>22</v>
      </c>
      <c r="L11" s="55">
        <v>1</v>
      </c>
      <c r="M11" s="55">
        <v>0.6</v>
      </c>
      <c r="N11" s="56"/>
      <c r="P11" s="56"/>
      <c r="Q11" s="56"/>
    </row>
    <row r="12" spans="1:17" ht="61.2" customHeight="1">
      <c r="A12" s="17">
        <f t="shared" si="1"/>
        <v>5</v>
      </c>
      <c r="B12" s="39">
        <v>2025</v>
      </c>
      <c r="C12" s="52" t="s">
        <v>42</v>
      </c>
      <c r="D12" s="403" t="s">
        <v>254</v>
      </c>
      <c r="E12" s="404"/>
      <c r="F12" s="92">
        <f>2891456.91/1.16</f>
        <v>2492635.2672413797</v>
      </c>
      <c r="G12" s="93">
        <v>1659470.45</v>
      </c>
      <c r="H12" s="93">
        <v>549004.4</v>
      </c>
      <c r="I12" s="94">
        <f t="shared" si="0"/>
        <v>549004.4</v>
      </c>
      <c r="J12" s="32">
        <f t="shared" ref="J12:J17" si="3">H12/F12</f>
        <v>0.22025059470798058</v>
      </c>
      <c r="K12" s="18" t="s">
        <v>22</v>
      </c>
      <c r="L12" s="32">
        <v>1</v>
      </c>
      <c r="M12" s="32">
        <v>0</v>
      </c>
      <c r="Q12" s="74"/>
    </row>
    <row r="13" spans="1:17" ht="76.2" customHeight="1">
      <c r="A13" s="19">
        <f t="shared" si="1"/>
        <v>6</v>
      </c>
      <c r="B13" s="40">
        <v>2025</v>
      </c>
      <c r="C13" s="53" t="s">
        <v>119</v>
      </c>
      <c r="D13" s="405" t="s">
        <v>216</v>
      </c>
      <c r="E13" s="406"/>
      <c r="F13" s="99">
        <f>2043047.82/1.16</f>
        <v>1761248.1206896554</v>
      </c>
      <c r="G13" s="100">
        <f>F13*0.7</f>
        <v>1232873.6844827586</v>
      </c>
      <c r="H13" s="100">
        <f>F13-G13</f>
        <v>528374.43620689679</v>
      </c>
      <c r="I13" s="101">
        <f t="shared" si="0"/>
        <v>528374.43620689679</v>
      </c>
      <c r="J13" s="55">
        <f t="shared" si="3"/>
        <v>0.3000000000000001</v>
      </c>
      <c r="K13" s="20" t="s">
        <v>22</v>
      </c>
      <c r="L13" s="55">
        <v>1</v>
      </c>
      <c r="M13" s="55">
        <v>0</v>
      </c>
    </row>
    <row r="14" spans="1:17" ht="67.25" customHeight="1">
      <c r="A14" s="17">
        <f t="shared" si="1"/>
        <v>7</v>
      </c>
      <c r="B14" s="39">
        <v>2025</v>
      </c>
      <c r="C14" s="52" t="s">
        <v>117</v>
      </c>
      <c r="D14" s="403" t="s">
        <v>254</v>
      </c>
      <c r="E14" s="404"/>
      <c r="F14" s="92">
        <f>2271855.34/1.16</f>
        <v>1958495.9827586208</v>
      </c>
      <c r="G14" s="93">
        <v>1515468.6</v>
      </c>
      <c r="H14" s="93">
        <v>622811.30000000005</v>
      </c>
      <c r="I14" s="94">
        <f t="shared" si="0"/>
        <v>622811.30000000005</v>
      </c>
      <c r="J14" s="32">
        <f t="shared" si="3"/>
        <v>0.31800489022333617</v>
      </c>
      <c r="K14" s="18" t="s">
        <v>22</v>
      </c>
      <c r="L14" s="32">
        <v>1</v>
      </c>
      <c r="M14" s="32">
        <v>0</v>
      </c>
    </row>
    <row r="15" spans="1:17" ht="89.3" customHeight="1">
      <c r="A15" s="19">
        <f t="shared" si="1"/>
        <v>8</v>
      </c>
      <c r="B15" s="40">
        <v>2025</v>
      </c>
      <c r="C15" s="53" t="str">
        <f>_xlfn.CONCAT(E34:E40)</f>
        <v>Ejido Jose Maria Morelos y Pavon (El Bellote)Ejido Chiltepec (Sección Banco)Ejido Chiltepec (Sección Tanque)Poblado Chiltepec (Puerto Chiltepec)Colonia Chiltepec (Sección Penjamo)Ejido Aquiles SerdanRancheria Aguiles Serdan</v>
      </c>
      <c r="D15" s="405" t="s">
        <v>296</v>
      </c>
      <c r="E15" s="406"/>
      <c r="F15" s="99">
        <f>SUM(F34:F40)/1.16</f>
        <v>6188400.2155172424</v>
      </c>
      <c r="G15" s="100">
        <f>F15*0.7</f>
        <v>4331880.1508620698</v>
      </c>
      <c r="H15" s="100">
        <f>F15-G15</f>
        <v>1856520.0646551726</v>
      </c>
      <c r="I15" s="101">
        <f>H15</f>
        <v>1856520.0646551726</v>
      </c>
      <c r="J15" s="55">
        <f t="shared" si="3"/>
        <v>0.3</v>
      </c>
      <c r="K15" s="20" t="s">
        <v>22</v>
      </c>
      <c r="L15" s="55">
        <v>1</v>
      </c>
      <c r="M15" s="55">
        <v>0</v>
      </c>
    </row>
    <row r="16" spans="1:17" ht="38.299999999999997" customHeight="1">
      <c r="A16" s="17">
        <f t="shared" si="1"/>
        <v>9</v>
      </c>
      <c r="B16" s="39">
        <v>2025</v>
      </c>
      <c r="C16" s="52" t="s">
        <v>159</v>
      </c>
      <c r="D16" s="403" t="s">
        <v>173</v>
      </c>
      <c r="E16" s="404"/>
      <c r="F16" s="92">
        <f>(F24+F25+F26)/1.16</f>
        <v>2453681.8189655175</v>
      </c>
      <c r="G16" s="93">
        <f>F16*0.7</f>
        <v>1717577.2732758622</v>
      </c>
      <c r="H16" s="93">
        <f>F16-G16</f>
        <v>736104.54568965524</v>
      </c>
      <c r="I16" s="94">
        <f t="shared" ref="I16" si="4">H16</f>
        <v>736104.54568965524</v>
      </c>
      <c r="J16" s="32">
        <f t="shared" si="3"/>
        <v>0.3</v>
      </c>
      <c r="K16" s="18" t="s">
        <v>22</v>
      </c>
      <c r="L16" s="32">
        <v>1</v>
      </c>
      <c r="M16" s="32">
        <v>1</v>
      </c>
      <c r="O16" s="169"/>
    </row>
    <row r="17" spans="1:13" ht="54.6" customHeight="1">
      <c r="A17" s="19">
        <f t="shared" si="1"/>
        <v>10</v>
      </c>
      <c r="B17" s="40">
        <v>2025</v>
      </c>
      <c r="C17" s="53" t="s">
        <v>43</v>
      </c>
      <c r="D17" s="405" t="s">
        <v>254</v>
      </c>
      <c r="E17" s="406"/>
      <c r="F17" s="99">
        <f>1108700.02/1.16</f>
        <v>955775.87931034493</v>
      </c>
      <c r="G17" s="100">
        <v>619020.04</v>
      </c>
      <c r="H17" s="100">
        <v>204040.13</v>
      </c>
      <c r="I17" s="101">
        <f t="shared" si="0"/>
        <v>204040.13</v>
      </c>
      <c r="J17" s="55">
        <f t="shared" si="3"/>
        <v>0.21348114596408141</v>
      </c>
      <c r="K17" s="20" t="s">
        <v>22</v>
      </c>
      <c r="L17" s="55">
        <v>1</v>
      </c>
      <c r="M17" s="55">
        <v>0</v>
      </c>
    </row>
    <row r="18" spans="1:13" ht="16.149999999999999">
      <c r="C18" s="74"/>
      <c r="E18" s="11" t="s">
        <v>20</v>
      </c>
      <c r="F18" s="73">
        <f>SUM(F8:F17)</f>
        <v>33458015.5</v>
      </c>
      <c r="G18" s="73">
        <f t="shared" ref="G18:I18" si="5">SUM(G8:G17)</f>
        <v>23245544.61862069</v>
      </c>
      <c r="H18" s="73">
        <f t="shared" si="5"/>
        <v>10468440.497710347</v>
      </c>
      <c r="I18" s="73">
        <f t="shared" si="5"/>
        <v>10468440.497710347</v>
      </c>
    </row>
    <row r="19" spans="1:13" ht="14.25" customHeight="1"/>
    <row r="20" spans="1:13" ht="14.25" customHeight="1">
      <c r="E20" s="322" t="s">
        <v>21</v>
      </c>
      <c r="F20" s="322"/>
      <c r="G20" s="322"/>
      <c r="H20" s="46">
        <f>H18/F18</f>
        <v>0.31288288744173565</v>
      </c>
    </row>
    <row r="21" spans="1:13" ht="14.25" customHeight="1"/>
    <row r="22" spans="1:13" ht="14.25" customHeight="1"/>
    <row r="23" spans="1:13" ht="14.25" hidden="1" customHeight="1">
      <c r="C23" s="124" t="s">
        <v>106</v>
      </c>
      <c r="D23" s="124" t="s">
        <v>107</v>
      </c>
      <c r="E23" s="124" t="s">
        <v>108</v>
      </c>
      <c r="F23" s="124" t="s">
        <v>109</v>
      </c>
      <c r="G23" s="124" t="s">
        <v>110</v>
      </c>
    </row>
    <row r="24" spans="1:13" ht="14.25" hidden="1" customHeight="1">
      <c r="C24" s="125">
        <v>16</v>
      </c>
      <c r="D24" s="125" t="s">
        <v>111</v>
      </c>
      <c r="E24" s="126" t="s">
        <v>112</v>
      </c>
      <c r="F24" s="127">
        <v>1574368.15</v>
      </c>
      <c r="G24" s="128" t="s">
        <v>113</v>
      </c>
      <c r="I24" s="129">
        <v>12</v>
      </c>
      <c r="J24" s="129" t="s">
        <v>111</v>
      </c>
      <c r="K24" s="130" t="s">
        <v>117</v>
      </c>
      <c r="L24" s="131">
        <v>2271855.34</v>
      </c>
      <c r="M24" s="132" t="s">
        <v>116</v>
      </c>
    </row>
    <row r="25" spans="1:13" ht="14.25" hidden="1" customHeight="1">
      <c r="C25" s="125">
        <v>17</v>
      </c>
      <c r="D25" s="125" t="s">
        <v>111</v>
      </c>
      <c r="E25" s="126" t="s">
        <v>114</v>
      </c>
      <c r="F25" s="127">
        <v>594160.12</v>
      </c>
      <c r="G25" s="128" t="s">
        <v>113</v>
      </c>
      <c r="I25" s="129">
        <v>13</v>
      </c>
      <c r="J25" s="129" t="s">
        <v>111</v>
      </c>
      <c r="K25" s="130" t="s">
        <v>44</v>
      </c>
      <c r="L25" s="131">
        <v>2891456.91</v>
      </c>
      <c r="M25" s="132" t="s">
        <v>116</v>
      </c>
    </row>
    <row r="26" spans="1:13" ht="14.25" hidden="1" customHeight="1">
      <c r="C26" s="125">
        <v>18</v>
      </c>
      <c r="D26" s="125" t="s">
        <v>111</v>
      </c>
      <c r="E26" s="126" t="s">
        <v>115</v>
      </c>
      <c r="F26" s="127">
        <v>677742.64</v>
      </c>
      <c r="G26" s="128" t="s">
        <v>113</v>
      </c>
      <c r="I26" s="129">
        <v>14</v>
      </c>
      <c r="J26" s="129" t="s">
        <v>111</v>
      </c>
      <c r="K26" s="130" t="s">
        <v>118</v>
      </c>
      <c r="L26" s="131">
        <v>1108702.78</v>
      </c>
      <c r="M26" s="132" t="s">
        <v>116</v>
      </c>
    </row>
    <row r="27" spans="1:13" ht="14.25" hidden="1" customHeight="1">
      <c r="C27" s="125"/>
      <c r="D27" s="125"/>
      <c r="E27" s="126"/>
      <c r="F27" s="127"/>
      <c r="G27" s="128"/>
      <c r="I27" s="129">
        <v>15</v>
      </c>
      <c r="J27" s="129" t="s">
        <v>111</v>
      </c>
      <c r="K27" s="130" t="s">
        <v>119</v>
      </c>
      <c r="L27" s="131">
        <v>2043047.82</v>
      </c>
      <c r="M27" s="132" t="s">
        <v>116</v>
      </c>
    </row>
    <row r="28" spans="1:13" ht="14.25" hidden="1" customHeight="1">
      <c r="C28" s="125"/>
      <c r="D28" s="125"/>
      <c r="E28" s="126"/>
      <c r="F28" s="127"/>
      <c r="G28" s="128"/>
    </row>
    <row r="29" spans="1:13" ht="14.25" hidden="1" customHeight="1">
      <c r="C29" s="125"/>
      <c r="D29" s="125"/>
      <c r="E29" s="126"/>
      <c r="F29" s="127"/>
      <c r="G29" s="128"/>
    </row>
    <row r="30" spans="1:13" ht="14.25" hidden="1" customHeight="1"/>
    <row r="31" spans="1:13" ht="14.25" hidden="1" customHeight="1"/>
    <row r="32" spans="1:13" ht="14.25" hidden="1" customHeight="1"/>
    <row r="33" spans="3:7" ht="14.25" hidden="1" customHeight="1"/>
    <row r="34" spans="3:7" ht="14.25" hidden="1" customHeight="1">
      <c r="C34" s="129">
        <v>19</v>
      </c>
      <c r="D34" s="129" t="s">
        <v>111</v>
      </c>
      <c r="E34" s="130" t="s">
        <v>120</v>
      </c>
      <c r="F34" s="131">
        <v>422242.46</v>
      </c>
      <c r="G34" s="132" t="s">
        <v>121</v>
      </c>
    </row>
    <row r="35" spans="3:7" ht="14.25" hidden="1" customHeight="1">
      <c r="C35" s="129">
        <v>20</v>
      </c>
      <c r="D35" s="129" t="s">
        <v>111</v>
      </c>
      <c r="E35" s="130" t="s">
        <v>122</v>
      </c>
      <c r="F35" s="131">
        <v>723647.37</v>
      </c>
      <c r="G35" s="132" t="s">
        <v>121</v>
      </c>
    </row>
    <row r="36" spans="3:7" ht="14.25" hidden="1" customHeight="1">
      <c r="C36" s="129">
        <v>21</v>
      </c>
      <c r="D36" s="129" t="s">
        <v>111</v>
      </c>
      <c r="E36" s="130" t="s">
        <v>123</v>
      </c>
      <c r="F36" s="131">
        <v>321030.12</v>
      </c>
      <c r="G36" s="132" t="s">
        <v>121</v>
      </c>
    </row>
    <row r="37" spans="3:7" ht="14.25" hidden="1" customHeight="1">
      <c r="C37" s="129">
        <v>22</v>
      </c>
      <c r="D37" s="129" t="s">
        <v>111</v>
      </c>
      <c r="E37" s="130" t="s">
        <v>124</v>
      </c>
      <c r="F37" s="131">
        <v>529677.68999999994</v>
      </c>
      <c r="G37" s="132" t="s">
        <v>121</v>
      </c>
    </row>
    <row r="38" spans="3:7" ht="14.25" hidden="1" customHeight="1">
      <c r="C38" s="129">
        <v>23</v>
      </c>
      <c r="D38" s="129" t="s">
        <v>111</v>
      </c>
      <c r="E38" s="130" t="s">
        <v>125</v>
      </c>
      <c r="F38" s="131">
        <v>3980224.49</v>
      </c>
      <c r="G38" s="132" t="s">
        <v>121</v>
      </c>
    </row>
    <row r="39" spans="3:7" ht="14.25" hidden="1" customHeight="1">
      <c r="C39" s="129">
        <v>24</v>
      </c>
      <c r="D39" s="129" t="s">
        <v>111</v>
      </c>
      <c r="E39" s="130" t="s">
        <v>126</v>
      </c>
      <c r="F39" s="131">
        <v>459149.99</v>
      </c>
      <c r="G39" s="132" t="s">
        <v>121</v>
      </c>
    </row>
    <row r="40" spans="3:7" ht="14.25" hidden="1" customHeight="1">
      <c r="C40" s="129">
        <v>25</v>
      </c>
      <c r="D40" s="129" t="s">
        <v>111</v>
      </c>
      <c r="E40" s="130" t="s">
        <v>127</v>
      </c>
      <c r="F40" s="131">
        <v>742572.13</v>
      </c>
      <c r="G40" s="132" t="s">
        <v>121</v>
      </c>
    </row>
    <row r="41" spans="3:7" ht="14.25" hidden="1" customHeight="1">
      <c r="C41" s="125"/>
      <c r="D41" s="125"/>
      <c r="E41" s="126"/>
      <c r="F41" s="127"/>
      <c r="G41" s="128"/>
    </row>
    <row r="42" spans="3:7" ht="14.25" hidden="1" customHeight="1">
      <c r="C42" s="125"/>
      <c r="D42" s="125"/>
      <c r="E42" s="126"/>
      <c r="F42" s="127"/>
      <c r="G42" s="128"/>
    </row>
    <row r="43" spans="3:7" ht="14.25" hidden="1" customHeight="1"/>
    <row r="44" spans="3:7" ht="14.25" hidden="1" customHeight="1"/>
    <row r="45" spans="3:7" ht="14.25" hidden="1" customHeight="1"/>
    <row r="46" spans="3:7" ht="14.25" hidden="1" customHeight="1"/>
    <row r="47" spans="3:7" ht="14.25" hidden="1" customHeight="1"/>
    <row r="48" spans="3:7" ht="14.25" hidden="1" customHeight="1"/>
    <row r="49" ht="14.25" hidden="1" customHeight="1"/>
    <row r="50" ht="14.25" hidden="1" customHeight="1"/>
    <row r="51" ht="14.25" hidden="1" customHeight="1"/>
    <row r="52" ht="14.25" hidden="1" customHeight="1"/>
    <row r="53" ht="14.25" hidden="1" customHeight="1"/>
    <row r="54" ht="14.25" hidden="1" customHeight="1"/>
    <row r="55" ht="14.25" hidden="1" customHeight="1"/>
    <row r="56" ht="14.25" hidden="1" customHeight="1"/>
    <row r="57" ht="14.25" hidden="1" customHeight="1"/>
    <row r="58" ht="14.25" hidden="1" customHeight="1"/>
    <row r="59" ht="14.25" hidden="1" customHeight="1"/>
    <row r="60" ht="14.25" hidden="1" customHeight="1"/>
    <row r="61" ht="14.25" hidden="1" customHeight="1"/>
    <row r="62" ht="14.25" hidden="1" customHeight="1"/>
    <row r="63" ht="14.25" hidden="1" customHeight="1"/>
    <row r="64" ht="14.25" hidden="1" customHeight="1"/>
    <row r="65" ht="14.25" hidden="1" customHeight="1"/>
    <row r="66" ht="14.25" hidden="1" customHeight="1"/>
    <row r="67" ht="14.25" hidden="1" customHeight="1"/>
    <row r="68" ht="14.25" hidden="1" customHeight="1"/>
    <row r="69" ht="14.25" hidden="1" customHeight="1"/>
    <row r="70" ht="14.25" hidden="1" customHeight="1"/>
    <row r="71" ht="14.25" hidden="1" customHeight="1"/>
    <row r="72" ht="14.25" hidden="1" customHeight="1"/>
    <row r="73" ht="14.25" hidden="1" customHeight="1"/>
    <row r="74" ht="14.25" hidden="1" customHeight="1"/>
    <row r="75" ht="14.25" hidden="1" customHeight="1"/>
    <row r="76" ht="14.25" hidden="1" customHeight="1"/>
    <row r="77" ht="14.25" hidden="1" customHeight="1"/>
    <row r="78" ht="14.25" hidden="1" customHeight="1"/>
    <row r="79" ht="14.25" hidden="1" customHeight="1"/>
    <row r="80" ht="14.25" hidden="1" customHeight="1"/>
    <row r="81" spans="4:4" ht="14.25" customHeight="1">
      <c r="D81" s="169"/>
    </row>
    <row r="82" spans="4:4" ht="14.25" customHeight="1"/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27">
    <mergeCell ref="J4:J5"/>
    <mergeCell ref="D9:E9"/>
    <mergeCell ref="D14:E14"/>
    <mergeCell ref="D17:E17"/>
    <mergeCell ref="D7:E7"/>
    <mergeCell ref="D10:E10"/>
    <mergeCell ref="D11:E11"/>
    <mergeCell ref="D12:E12"/>
    <mergeCell ref="D13:E13"/>
    <mergeCell ref="D16:E16"/>
    <mergeCell ref="D15:E15"/>
    <mergeCell ref="B4:B5"/>
    <mergeCell ref="E20:G20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G4:G5"/>
    <mergeCell ref="H4:H5"/>
    <mergeCell ref="A1:K2"/>
    <mergeCell ref="D8:E8"/>
  </mergeCells>
  <pageMargins left="0.23622047244094491" right="0.23622047244094491" top="0.74803149606299213" bottom="0.74803149606299213" header="0.31496062992125984" footer="0.31496062992125984"/>
  <pageSetup scale="5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AAE39F-8AE7-4C60-8FED-72256206E965}">
          <x14:formula1>
            <xm:f>Hoja1!$B$3:$B$4</xm:f>
          </x14:formula1>
          <xm:sqref>B8:B17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002"/>
  <sheetViews>
    <sheetView topLeftCell="A21" zoomScale="80" zoomScaleNormal="80" workbookViewId="0">
      <selection activeCell="M11" sqref="M11"/>
    </sheetView>
  </sheetViews>
  <sheetFormatPr baseColWidth="10" defaultColWidth="14.3984375" defaultRowHeight="14.4"/>
  <cols>
    <col min="1" max="1" width="7.3984375" style="63" bestFit="1" customWidth="1"/>
    <col min="2" max="2" width="7.3984375" style="63" customWidth="1"/>
    <col min="3" max="3" width="29.09765625" customWidth="1"/>
    <col min="4" max="4" width="20.296875" customWidth="1"/>
    <col min="5" max="5" width="14.69921875" customWidth="1"/>
    <col min="6" max="6" width="17.296875" style="74" customWidth="1"/>
    <col min="7" max="7" width="18.296875" style="74" customWidth="1"/>
    <col min="8" max="8" width="16.69921875" style="74" customWidth="1"/>
    <col min="9" max="9" width="18.69921875" style="74" customWidth="1"/>
    <col min="10" max="10" width="6.69921875" style="50" customWidth="1"/>
    <col min="11" max="11" width="26.296875" style="50" customWidth="1"/>
    <col min="12" max="12" width="10.3984375" customWidth="1"/>
    <col min="13" max="13" width="17.09765625" customWidth="1"/>
    <col min="14" max="29" width="24.296875" customWidth="1"/>
  </cols>
  <sheetData>
    <row r="1" spans="1:15">
      <c r="A1" s="411" t="s">
        <v>217</v>
      </c>
      <c r="B1" s="411"/>
      <c r="C1" s="410"/>
      <c r="D1" s="410"/>
      <c r="E1" s="410"/>
      <c r="F1" s="410"/>
      <c r="G1" s="410"/>
      <c r="H1" s="410"/>
      <c r="I1" s="410"/>
      <c r="J1" s="410"/>
      <c r="K1" s="410"/>
      <c r="L1" s="409"/>
      <c r="M1" s="409">
        <f ca="1">TODAY()</f>
        <v>46205</v>
      </c>
    </row>
    <row r="2" spans="1:15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3" spans="1:15" ht="18.45" thickBot="1">
      <c r="A3" s="61"/>
      <c r="B3" s="61"/>
      <c r="C3" s="61"/>
      <c r="D3" s="61"/>
      <c r="E3" s="61"/>
      <c r="F3" s="135"/>
      <c r="G3" s="135"/>
      <c r="H3" s="135"/>
      <c r="I3" s="135"/>
      <c r="J3" s="136"/>
      <c r="K3" s="61"/>
      <c r="L3" s="61"/>
      <c r="M3" s="136"/>
    </row>
    <row r="4" spans="1:15" ht="15.55" thickTop="1" thickBot="1">
      <c r="A4" s="343" t="s">
        <v>0</v>
      </c>
      <c r="B4" s="353"/>
      <c r="C4" s="345">
        <v>1</v>
      </c>
      <c r="D4" s="347" t="s">
        <v>2</v>
      </c>
      <c r="E4" s="348">
        <v>3000000</v>
      </c>
      <c r="F4" s="326" t="s">
        <v>3</v>
      </c>
      <c r="G4" s="326">
        <f>I8*M8+I9*M9+I10*M10+I11*M11+I12*M12+I13*M13+I14*M14+I15*M15+I16*M16+I17*M17+I18*M18+I19*M19+I20*M20+I21*M21+I22*M22+I23*M23+I24*M24+I25*M25+I26*M26</f>
        <v>2636541.922890807</v>
      </c>
      <c r="H4" s="328" t="s">
        <v>30</v>
      </c>
      <c r="I4" s="328">
        <f>I29-E4</f>
        <v>253295.62672414025</v>
      </c>
      <c r="J4" s="351"/>
      <c r="K4" s="49" t="s">
        <v>5</v>
      </c>
      <c r="L4" s="349">
        <f>G4/E4</f>
        <v>0.87884730763026897</v>
      </c>
      <c r="M4" s="350"/>
    </row>
    <row r="5" spans="1:15" ht="15.55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49" t="s">
        <v>6</v>
      </c>
      <c r="L5" s="349">
        <f>AVERAGE(M8:M26)</f>
        <v>0.88859649122807016</v>
      </c>
      <c r="M5" s="350"/>
    </row>
    <row r="6" spans="1:15" ht="17.850000000000001">
      <c r="A6" s="5"/>
      <c r="B6" s="5"/>
      <c r="C6" s="5"/>
      <c r="D6" s="61"/>
      <c r="E6" s="61"/>
      <c r="F6" s="82"/>
      <c r="G6" s="82"/>
      <c r="H6" s="82"/>
      <c r="I6" s="82"/>
      <c r="J6" s="29"/>
      <c r="K6" s="5"/>
      <c r="L6" s="61"/>
    </row>
    <row r="7" spans="1:15" ht="25.35">
      <c r="A7" s="41" t="s">
        <v>7</v>
      </c>
      <c r="B7" s="48" t="s">
        <v>228</v>
      </c>
      <c r="C7" s="48" t="s">
        <v>8</v>
      </c>
      <c r="D7" s="420" t="s">
        <v>9</v>
      </c>
      <c r="E7" s="420"/>
      <c r="F7" s="173" t="s">
        <v>11</v>
      </c>
      <c r="G7" s="81" t="s">
        <v>12</v>
      </c>
      <c r="H7" s="81" t="s">
        <v>13</v>
      </c>
      <c r="I7" s="81" t="s">
        <v>14</v>
      </c>
      <c r="J7" s="41" t="s">
        <v>92</v>
      </c>
      <c r="K7" s="41" t="s">
        <v>15</v>
      </c>
      <c r="L7" s="41" t="s">
        <v>93</v>
      </c>
      <c r="M7" s="41" t="s">
        <v>16</v>
      </c>
    </row>
    <row r="8" spans="1:15" ht="78.650000000000006" customHeight="1">
      <c r="A8" s="107">
        <v>1</v>
      </c>
      <c r="B8" s="40">
        <v>2025</v>
      </c>
      <c r="C8" s="45" t="s">
        <v>44</v>
      </c>
      <c r="D8" s="332" t="s">
        <v>242</v>
      </c>
      <c r="E8" s="332"/>
      <c r="F8" s="90">
        <v>430390</v>
      </c>
      <c r="G8" s="90">
        <v>4147761.41</v>
      </c>
      <c r="H8" s="90">
        <v>779914</v>
      </c>
      <c r="I8" s="91">
        <f>H8/2+20000</f>
        <v>409957</v>
      </c>
      <c r="J8" s="46">
        <f t="shared" ref="J8:J17" si="0">H8/F8</f>
        <v>1.812109946792444</v>
      </c>
      <c r="K8" s="47" t="s">
        <v>45</v>
      </c>
      <c r="L8" s="46">
        <v>1</v>
      </c>
      <c r="M8" s="46">
        <v>0.85</v>
      </c>
      <c r="N8" s="74"/>
    </row>
    <row r="9" spans="1:15">
      <c r="A9" s="108">
        <f t="shared" ref="A9:A21" si="1">A8+1</f>
        <v>2</v>
      </c>
      <c r="B9" s="39">
        <v>2025</v>
      </c>
      <c r="C9" s="42" t="s">
        <v>46</v>
      </c>
      <c r="D9" s="355" t="s">
        <v>243</v>
      </c>
      <c r="E9" s="355"/>
      <c r="F9" s="88">
        <f>2505600/1.16</f>
        <v>2160000</v>
      </c>
      <c r="G9" s="88">
        <v>1058225.95</v>
      </c>
      <c r="H9" s="88">
        <v>670782.05000000005</v>
      </c>
      <c r="I9" s="89">
        <f>H9/2+40000</f>
        <v>375391.02500000002</v>
      </c>
      <c r="J9" s="43">
        <f t="shared" si="0"/>
        <v>0.31054724537037037</v>
      </c>
      <c r="K9" s="44" t="s">
        <v>45</v>
      </c>
      <c r="L9" s="43">
        <v>0.5</v>
      </c>
      <c r="M9" s="43">
        <f>15/30</f>
        <v>0.5</v>
      </c>
    </row>
    <row r="10" spans="1:15">
      <c r="A10" s="107">
        <f t="shared" si="1"/>
        <v>3</v>
      </c>
      <c r="B10" s="40">
        <v>2025</v>
      </c>
      <c r="C10" s="45" t="s">
        <v>47</v>
      </c>
      <c r="D10" s="332" t="s">
        <v>307</v>
      </c>
      <c r="E10" s="332"/>
      <c r="F10" s="90">
        <f>5220000/1.16</f>
        <v>4500000</v>
      </c>
      <c r="G10" s="90">
        <v>1965579.68</v>
      </c>
      <c r="H10" s="90">
        <v>1197720.32</v>
      </c>
      <c r="I10" s="91">
        <f>H10/2+100000</f>
        <v>698860.16</v>
      </c>
      <c r="J10" s="46">
        <f t="shared" si="0"/>
        <v>0.26616007111111112</v>
      </c>
      <c r="K10" s="47" t="s">
        <v>45</v>
      </c>
      <c r="L10" s="46">
        <v>0.5</v>
      </c>
      <c r="M10" s="46">
        <f>16/30</f>
        <v>0.53333333333333333</v>
      </c>
    </row>
    <row r="11" spans="1:15">
      <c r="A11" s="108">
        <f t="shared" si="1"/>
        <v>4</v>
      </c>
      <c r="B11" s="39">
        <v>2025</v>
      </c>
      <c r="C11" s="42" t="s">
        <v>48</v>
      </c>
      <c r="D11" s="373" t="s">
        <v>103</v>
      </c>
      <c r="E11" s="373"/>
      <c r="F11" s="88">
        <f>439421.17/1.16</f>
        <v>378811.35344827588</v>
      </c>
      <c r="G11" s="88">
        <v>338016.28</v>
      </c>
      <c r="H11" s="88">
        <v>50702.44</v>
      </c>
      <c r="I11" s="89">
        <f>H11/2+5000</f>
        <v>30351.22</v>
      </c>
      <c r="J11" s="43">
        <f t="shared" si="0"/>
        <v>0.13384614673890199</v>
      </c>
      <c r="K11" s="44" t="s">
        <v>45</v>
      </c>
      <c r="L11" s="43">
        <v>1</v>
      </c>
      <c r="M11" s="43">
        <v>1</v>
      </c>
    </row>
    <row r="12" spans="1:15">
      <c r="A12" s="107">
        <f t="shared" si="1"/>
        <v>5</v>
      </c>
      <c r="B12" s="40">
        <v>2025</v>
      </c>
      <c r="C12" s="45" t="s">
        <v>102</v>
      </c>
      <c r="D12" s="329" t="s">
        <v>103</v>
      </c>
      <c r="E12" s="329"/>
      <c r="F12" s="90">
        <v>101766</v>
      </c>
      <c r="G12" s="90">
        <v>72690</v>
      </c>
      <c r="H12" s="90">
        <v>24023.69</v>
      </c>
      <c r="I12" s="91">
        <f>H12/2+3000</f>
        <v>15011.844999999999</v>
      </c>
      <c r="J12" s="46">
        <f t="shared" si="0"/>
        <v>0.2360679401764833</v>
      </c>
      <c r="K12" s="47" t="s">
        <v>45</v>
      </c>
      <c r="L12" s="46">
        <v>1</v>
      </c>
      <c r="M12" s="46">
        <v>1</v>
      </c>
      <c r="O12" s="74"/>
    </row>
    <row r="13" spans="1:15">
      <c r="A13" s="108">
        <f t="shared" si="1"/>
        <v>6</v>
      </c>
      <c r="B13" s="39">
        <v>2025</v>
      </c>
      <c r="C13" s="42" t="s">
        <v>49</v>
      </c>
      <c r="D13" s="373" t="s">
        <v>103</v>
      </c>
      <c r="E13" s="373"/>
      <c r="F13" s="88">
        <v>287182.75</v>
      </c>
      <c r="G13" s="88">
        <v>183400.08000000002</v>
      </c>
      <c r="H13" s="88">
        <f>F13-G13</f>
        <v>103782.66999999998</v>
      </c>
      <c r="I13" s="89">
        <f>H13/2</f>
        <v>51891.334999999992</v>
      </c>
      <c r="J13" s="43">
        <f t="shared" si="0"/>
        <v>0.36138197715566128</v>
      </c>
      <c r="K13" s="44" t="s">
        <v>45</v>
      </c>
      <c r="L13" s="43">
        <v>1</v>
      </c>
      <c r="M13" s="43">
        <v>1</v>
      </c>
    </row>
    <row r="14" spans="1:15" ht="25.35">
      <c r="A14" s="107">
        <f t="shared" si="1"/>
        <v>7</v>
      </c>
      <c r="B14" s="40">
        <v>2025</v>
      </c>
      <c r="C14" s="45" t="s">
        <v>50</v>
      </c>
      <c r="D14" s="323" t="s">
        <v>103</v>
      </c>
      <c r="E14" s="323"/>
      <c r="F14" s="90">
        <v>1244484.8899999999</v>
      </c>
      <c r="G14" s="90">
        <v>893587</v>
      </c>
      <c r="H14" s="90">
        <v>130630.24</v>
      </c>
      <c r="I14" s="91">
        <f>H14/2</f>
        <v>65315.12</v>
      </c>
      <c r="J14" s="46">
        <f t="shared" si="0"/>
        <v>0.10496731703990397</v>
      </c>
      <c r="K14" s="47" t="s">
        <v>22</v>
      </c>
      <c r="L14" s="46">
        <v>1</v>
      </c>
      <c r="M14" s="46">
        <v>1</v>
      </c>
    </row>
    <row r="15" spans="1:15">
      <c r="A15" s="108">
        <f t="shared" si="1"/>
        <v>8</v>
      </c>
      <c r="B15" s="39">
        <v>2025</v>
      </c>
      <c r="C15" s="42" t="s">
        <v>51</v>
      </c>
      <c r="D15" s="373" t="s">
        <v>103</v>
      </c>
      <c r="E15" s="373"/>
      <c r="F15" s="88">
        <v>1287600</v>
      </c>
      <c r="G15" s="88">
        <f>F15-H15</f>
        <v>830032.2</v>
      </c>
      <c r="H15" s="88">
        <v>457567.8</v>
      </c>
      <c r="I15" s="89">
        <f>H15/2+40000</f>
        <v>268783.90000000002</v>
      </c>
      <c r="J15" s="43">
        <f t="shared" si="0"/>
        <v>0.35536486486486485</v>
      </c>
      <c r="K15" s="44"/>
      <c r="L15" s="43">
        <v>1</v>
      </c>
      <c r="M15" s="43">
        <v>1</v>
      </c>
    </row>
    <row r="16" spans="1:15">
      <c r="A16" s="107">
        <f t="shared" si="1"/>
        <v>9</v>
      </c>
      <c r="B16" s="40">
        <v>2025</v>
      </c>
      <c r="C16" s="45" t="s">
        <v>52</v>
      </c>
      <c r="D16" s="329" t="s">
        <v>103</v>
      </c>
      <c r="E16" s="329"/>
      <c r="F16" s="90">
        <v>81606</v>
      </c>
      <c r="G16" s="90">
        <v>33909.120000000003</v>
      </c>
      <c r="H16" s="90">
        <v>35455.980000000003</v>
      </c>
      <c r="I16" s="91">
        <f>H16/2+5000</f>
        <v>22727.99</v>
      </c>
      <c r="J16" s="46">
        <f t="shared" si="0"/>
        <v>0.43447761194029855</v>
      </c>
      <c r="K16" s="47" t="s">
        <v>22</v>
      </c>
      <c r="L16" s="46">
        <v>1</v>
      </c>
      <c r="M16" s="46">
        <v>1</v>
      </c>
    </row>
    <row r="17" spans="1:13" ht="38.049999999999997">
      <c r="A17" s="108">
        <f t="shared" si="1"/>
        <v>10</v>
      </c>
      <c r="B17" s="39">
        <v>2025</v>
      </c>
      <c r="C17" s="42" t="s">
        <v>53</v>
      </c>
      <c r="D17" s="373" t="s">
        <v>103</v>
      </c>
      <c r="E17" s="373"/>
      <c r="F17" s="88">
        <v>1180772.18</v>
      </c>
      <c r="G17" s="88">
        <v>849479</v>
      </c>
      <c r="H17" s="88">
        <v>114744.06</v>
      </c>
      <c r="I17" s="89">
        <f>H17/2</f>
        <v>57372.03</v>
      </c>
      <c r="J17" s="43">
        <f t="shared" si="0"/>
        <v>9.7177137083294091E-2</v>
      </c>
      <c r="K17" s="44" t="s">
        <v>22</v>
      </c>
      <c r="L17" s="43">
        <v>1</v>
      </c>
      <c r="M17" s="43">
        <v>1</v>
      </c>
    </row>
    <row r="18" spans="1:13" ht="68.400000000000006" customHeight="1">
      <c r="A18" s="107">
        <f t="shared" si="1"/>
        <v>11</v>
      </c>
      <c r="B18" s="40">
        <v>2025</v>
      </c>
      <c r="C18" s="45" t="s">
        <v>54</v>
      </c>
      <c r="D18" s="323" t="s">
        <v>103</v>
      </c>
      <c r="E18" s="323"/>
      <c r="F18" s="90">
        <v>1497741.07</v>
      </c>
      <c r="G18" s="90">
        <v>1050399.1200000001</v>
      </c>
      <c r="H18" s="90">
        <v>188404.19</v>
      </c>
      <c r="I18" s="91">
        <f>H18/2+40000</f>
        <v>134202.095</v>
      </c>
      <c r="J18" s="46">
        <f t="shared" ref="J18:J24" si="2">H18/F18</f>
        <v>0.125792230562256</v>
      </c>
      <c r="K18" s="47" t="s">
        <v>22</v>
      </c>
      <c r="L18" s="46">
        <v>1</v>
      </c>
      <c r="M18" s="46">
        <v>1</v>
      </c>
    </row>
    <row r="19" spans="1:13" ht="35" customHeight="1">
      <c r="A19" s="108">
        <f t="shared" si="1"/>
        <v>12</v>
      </c>
      <c r="B19" s="39">
        <v>2025</v>
      </c>
      <c r="C19" s="42" t="s">
        <v>161</v>
      </c>
      <c r="D19" s="412" t="s">
        <v>103</v>
      </c>
      <c r="E19" s="413"/>
      <c r="F19" s="214">
        <v>1415122.1034482799</v>
      </c>
      <c r="G19" s="88">
        <v>882904.22</v>
      </c>
      <c r="H19" s="88">
        <f>F19-G19</f>
        <v>532217.88344827993</v>
      </c>
      <c r="I19" s="89">
        <f>H19/2</f>
        <v>266108.94172413996</v>
      </c>
      <c r="J19" s="43">
        <f t="shared" si="2"/>
        <v>0.37609325877350447</v>
      </c>
      <c r="K19" s="44" t="s">
        <v>22</v>
      </c>
      <c r="L19" s="43">
        <v>1</v>
      </c>
      <c r="M19" s="43">
        <v>1</v>
      </c>
    </row>
    <row r="20" spans="1:13" ht="43.5" customHeight="1">
      <c r="A20" s="107">
        <f t="shared" si="1"/>
        <v>13</v>
      </c>
      <c r="B20" s="40">
        <v>2025</v>
      </c>
      <c r="C20" s="45" t="s">
        <v>160</v>
      </c>
      <c r="D20" s="414" t="s">
        <v>297</v>
      </c>
      <c r="E20" s="415"/>
      <c r="F20" s="90">
        <v>1356607.1379310347</v>
      </c>
      <c r="G20" s="90">
        <v>952601.36</v>
      </c>
      <c r="H20" s="90">
        <v>384551.4</v>
      </c>
      <c r="I20" s="91">
        <f>H20/2</f>
        <v>192275.7</v>
      </c>
      <c r="J20" s="46">
        <f t="shared" si="2"/>
        <v>0.28346555848621025</v>
      </c>
      <c r="K20" s="47" t="s">
        <v>22</v>
      </c>
      <c r="L20" s="46">
        <v>0.95</v>
      </c>
      <c r="M20" s="46">
        <v>1</v>
      </c>
    </row>
    <row r="21" spans="1:13" ht="43.2" customHeight="1">
      <c r="A21" s="108">
        <f t="shared" si="1"/>
        <v>14</v>
      </c>
      <c r="B21" s="39">
        <v>2025</v>
      </c>
      <c r="C21" s="42" t="s">
        <v>146</v>
      </c>
      <c r="D21" s="355" t="s">
        <v>265</v>
      </c>
      <c r="E21" s="355"/>
      <c r="F21" s="88">
        <v>308058.88</v>
      </c>
      <c r="G21" s="176">
        <v>235199.08</v>
      </c>
      <c r="H21" s="88">
        <f>F21-G21</f>
        <v>72859.800000000017</v>
      </c>
      <c r="I21" s="89">
        <f>H21/2+5000</f>
        <v>41429.900000000009</v>
      </c>
      <c r="J21" s="43">
        <f t="shared" si="2"/>
        <v>0.23651257837462766</v>
      </c>
      <c r="K21" s="44" t="s">
        <v>22</v>
      </c>
      <c r="L21" s="43">
        <v>1</v>
      </c>
      <c r="M21" s="43">
        <v>0</v>
      </c>
    </row>
    <row r="22" spans="1:13" s="63" customFormat="1" ht="25.35">
      <c r="A22" s="146">
        <v>15</v>
      </c>
      <c r="B22" s="40">
        <v>2026</v>
      </c>
      <c r="C22" s="150" t="s">
        <v>147</v>
      </c>
      <c r="D22" s="323" t="s">
        <v>103</v>
      </c>
      <c r="E22" s="323"/>
      <c r="F22" s="170">
        <v>1955000</v>
      </c>
      <c r="G22" s="170">
        <v>698901.61</v>
      </c>
      <c r="H22" s="171">
        <v>556554.47</v>
      </c>
      <c r="I22" s="147">
        <f>H22/2+5000</f>
        <v>283277.23499999999</v>
      </c>
      <c r="J22" s="148">
        <f t="shared" si="2"/>
        <v>0.28468259335038359</v>
      </c>
      <c r="K22" s="149" t="s">
        <v>22</v>
      </c>
      <c r="L22" s="167">
        <v>1</v>
      </c>
      <c r="M22" s="168">
        <v>1</v>
      </c>
    </row>
    <row r="23" spans="1:13" ht="27.8" customHeight="1">
      <c r="A23" s="108">
        <v>16</v>
      </c>
      <c r="B23" s="39">
        <v>2025</v>
      </c>
      <c r="C23" s="42" t="s">
        <v>148</v>
      </c>
      <c r="D23" s="412" t="s">
        <v>103</v>
      </c>
      <c r="E23" s="413"/>
      <c r="F23" s="88">
        <v>95185.4</v>
      </c>
      <c r="G23" s="88">
        <v>54931.66</v>
      </c>
      <c r="H23" s="88">
        <v>24333.23</v>
      </c>
      <c r="I23" s="89">
        <f>H23/2+5000</f>
        <v>17166.614999999998</v>
      </c>
      <c r="J23" s="43">
        <f t="shared" si="2"/>
        <v>0.2556403608116371</v>
      </c>
      <c r="K23" s="44" t="s">
        <v>45</v>
      </c>
      <c r="L23" s="43">
        <v>1</v>
      </c>
      <c r="M23" s="43">
        <v>1</v>
      </c>
    </row>
    <row r="24" spans="1:13" ht="36" customHeight="1">
      <c r="A24" s="174">
        <v>17</v>
      </c>
      <c r="B24" s="40">
        <v>2025</v>
      </c>
      <c r="C24" s="150" t="s">
        <v>149</v>
      </c>
      <c r="D24" s="416" t="s">
        <v>265</v>
      </c>
      <c r="E24" s="416"/>
      <c r="F24" s="232">
        <v>119968.64</v>
      </c>
      <c r="G24" s="177">
        <v>78599.17</v>
      </c>
      <c r="H24" s="177">
        <f>F24-G24</f>
        <v>41369.47</v>
      </c>
      <c r="I24" s="147">
        <f>H24/2</f>
        <v>20684.735000000001</v>
      </c>
      <c r="J24" s="148">
        <f t="shared" si="2"/>
        <v>0.34483570039637024</v>
      </c>
      <c r="K24" s="149" t="s">
        <v>45</v>
      </c>
      <c r="L24" s="167">
        <v>1</v>
      </c>
      <c r="M24" s="175">
        <v>1</v>
      </c>
    </row>
    <row r="25" spans="1:13" ht="25.35">
      <c r="A25" s="174">
        <v>17</v>
      </c>
      <c r="B25" s="40">
        <v>2026</v>
      </c>
      <c r="C25" s="150" t="s">
        <v>248</v>
      </c>
      <c r="D25" s="417" t="s">
        <v>272</v>
      </c>
      <c r="E25" s="417"/>
      <c r="F25" s="171">
        <v>1137944.42</v>
      </c>
      <c r="G25" s="177">
        <v>580000</v>
      </c>
      <c r="H25" s="177">
        <v>337331.24</v>
      </c>
      <c r="I25" s="147">
        <f>H25/2</f>
        <v>168665.62</v>
      </c>
      <c r="J25" s="148">
        <f>H25/F25</f>
        <v>0.29643911782615889</v>
      </c>
      <c r="K25" s="149" t="s">
        <v>22</v>
      </c>
      <c r="L25" s="167">
        <v>1</v>
      </c>
      <c r="M25" s="175">
        <v>1</v>
      </c>
    </row>
    <row r="26" spans="1:13" ht="59.5" customHeight="1">
      <c r="A26" s="108">
        <v>18</v>
      </c>
      <c r="B26" s="39">
        <v>2026</v>
      </c>
      <c r="C26" s="42" t="s">
        <v>249</v>
      </c>
      <c r="D26" s="418" t="s">
        <v>292</v>
      </c>
      <c r="E26" s="419"/>
      <c r="F26" s="176">
        <v>855849.79</v>
      </c>
      <c r="G26" s="88">
        <v>411885.02</v>
      </c>
      <c r="H26" s="88">
        <v>267646.32</v>
      </c>
      <c r="I26" s="89">
        <f>H26/2</f>
        <v>133823.16</v>
      </c>
      <c r="J26" s="43">
        <f>H26/F26</f>
        <v>0.31272581138332695</v>
      </c>
      <c r="K26" s="44" t="s">
        <v>22</v>
      </c>
      <c r="L26" s="43">
        <v>1</v>
      </c>
      <c r="M26" s="43">
        <v>1</v>
      </c>
    </row>
    <row r="27" spans="1:13" ht="25.35">
      <c r="A27" s="174">
        <v>19</v>
      </c>
      <c r="B27" s="40">
        <v>2026</v>
      </c>
      <c r="C27" s="150" t="s">
        <v>306</v>
      </c>
      <c r="D27" s="417" t="s">
        <v>396</v>
      </c>
      <c r="E27" s="417"/>
      <c r="F27" s="171"/>
      <c r="G27" s="177"/>
      <c r="H27" s="177"/>
      <c r="I27" s="147"/>
      <c r="J27" s="148"/>
      <c r="K27" s="149" t="s">
        <v>305</v>
      </c>
      <c r="L27" s="167">
        <v>0</v>
      </c>
      <c r="M27" s="175">
        <v>0</v>
      </c>
    </row>
    <row r="28" spans="1:13" ht="68.400000000000006" customHeight="1">
      <c r="A28" s="174">
        <v>20</v>
      </c>
      <c r="B28" s="40">
        <v>2026</v>
      </c>
      <c r="C28" s="150" t="s">
        <v>395</v>
      </c>
      <c r="D28" s="417" t="s">
        <v>397</v>
      </c>
      <c r="E28" s="417"/>
      <c r="F28" s="171"/>
      <c r="G28" s="177"/>
      <c r="H28" s="177"/>
      <c r="I28" s="147"/>
      <c r="J28" s="148"/>
      <c r="K28" s="149" t="s">
        <v>305</v>
      </c>
      <c r="L28" s="167">
        <v>0</v>
      </c>
      <c r="M28" s="175">
        <v>0</v>
      </c>
    </row>
    <row r="29" spans="1:13" ht="16.149999999999999">
      <c r="A29" s="66"/>
      <c r="B29" s="66"/>
      <c r="D29" t="s">
        <v>316</v>
      </c>
      <c r="E29" s="11" t="s">
        <v>20</v>
      </c>
      <c r="F29" s="73">
        <f>SUM(F8:F27)</f>
        <v>20394090.614827588</v>
      </c>
      <c r="G29" s="73">
        <f t="shared" ref="G29:I29" si="3">SUM(G8:G27)</f>
        <v>15318101.959999999</v>
      </c>
      <c r="H29" s="73">
        <f>SUM(H8:H27)</f>
        <v>5970591.2534482805</v>
      </c>
      <c r="I29" s="73">
        <f t="shared" si="3"/>
        <v>3253295.6267241403</v>
      </c>
    </row>
    <row r="30" spans="1:13">
      <c r="A30" s="66"/>
      <c r="B30" s="66"/>
    </row>
    <row r="31" spans="1:13">
      <c r="A31" s="66"/>
      <c r="B31" s="66"/>
      <c r="E31" s="322" t="s">
        <v>21</v>
      </c>
      <c r="F31" s="322"/>
      <c r="G31" s="322"/>
      <c r="H31" s="46">
        <f>H29/F29</f>
        <v>0.29276084755195425</v>
      </c>
    </row>
    <row r="32" spans="1:13">
      <c r="A32" s="66"/>
      <c r="B32" s="66"/>
    </row>
    <row r="33" spans="1:2">
      <c r="A33" s="66"/>
      <c r="B33" s="66"/>
    </row>
    <row r="34" spans="1:2">
      <c r="A34" s="66"/>
      <c r="B34" s="66"/>
    </row>
    <row r="35" spans="1:2">
      <c r="A35" s="66"/>
      <c r="B35" s="66"/>
    </row>
    <row r="36" spans="1:2">
      <c r="A36" s="66"/>
      <c r="B36" s="66"/>
    </row>
    <row r="37" spans="1:2">
      <c r="A37" s="66"/>
      <c r="B37" s="66"/>
    </row>
    <row r="38" spans="1:2">
      <c r="A38" s="66"/>
      <c r="B38" s="66"/>
    </row>
    <row r="39" spans="1:2">
      <c r="A39" s="66"/>
      <c r="B39" s="66"/>
    </row>
    <row r="40" spans="1:2">
      <c r="A40" s="66"/>
      <c r="B40" s="66"/>
    </row>
    <row r="41" spans="1:2">
      <c r="A41" s="66"/>
      <c r="B41" s="66"/>
    </row>
    <row r="42" spans="1:2">
      <c r="A42" s="66"/>
      <c r="B42" s="66"/>
    </row>
    <row r="43" spans="1:2">
      <c r="A43" s="66"/>
      <c r="B43" s="66"/>
    </row>
    <row r="44" spans="1:2">
      <c r="A44" s="66"/>
      <c r="B44" s="66"/>
    </row>
    <row r="45" spans="1:2">
      <c r="A45" s="66"/>
      <c r="B45" s="66"/>
    </row>
    <row r="46" spans="1:2">
      <c r="A46" s="66"/>
      <c r="B46" s="66"/>
    </row>
    <row r="47" spans="1:2">
      <c r="A47" s="66"/>
      <c r="B47" s="66"/>
    </row>
    <row r="48" spans="1:2">
      <c r="A48" s="66"/>
      <c r="B48" s="66"/>
    </row>
    <row r="49" spans="1:2">
      <c r="A49" s="66"/>
      <c r="B49" s="66"/>
    </row>
    <row r="50" spans="1:2">
      <c r="A50" s="66"/>
      <c r="B50" s="66"/>
    </row>
    <row r="51" spans="1:2">
      <c r="A51" s="66"/>
      <c r="B51" s="66"/>
    </row>
    <row r="52" spans="1:2">
      <c r="A52" s="66"/>
      <c r="B52" s="66"/>
    </row>
    <row r="53" spans="1:2">
      <c r="A53" s="66"/>
      <c r="B53" s="66"/>
    </row>
    <row r="54" spans="1:2">
      <c r="A54" s="66"/>
      <c r="B54" s="66"/>
    </row>
    <row r="55" spans="1:2">
      <c r="A55" s="66"/>
      <c r="B55" s="66"/>
    </row>
    <row r="56" spans="1:2">
      <c r="A56" s="66"/>
      <c r="B56" s="66"/>
    </row>
    <row r="57" spans="1:2">
      <c r="A57" s="66"/>
      <c r="B57" s="66"/>
    </row>
    <row r="58" spans="1:2">
      <c r="A58" s="66"/>
      <c r="B58" s="66"/>
    </row>
    <row r="59" spans="1:2">
      <c r="A59" s="66"/>
      <c r="B59" s="66"/>
    </row>
    <row r="60" spans="1:2">
      <c r="A60" s="66"/>
      <c r="B60" s="66"/>
    </row>
    <row r="61" spans="1:2">
      <c r="A61" s="66"/>
      <c r="B61" s="66"/>
    </row>
    <row r="62" spans="1:2">
      <c r="A62" s="66"/>
      <c r="B62" s="66"/>
    </row>
    <row r="63" spans="1:2">
      <c r="A63" s="66"/>
      <c r="B63" s="66"/>
    </row>
    <row r="64" spans="1:2">
      <c r="A64" s="66"/>
      <c r="B64" s="66"/>
    </row>
    <row r="65" spans="1:2">
      <c r="A65" s="66"/>
      <c r="B65" s="66"/>
    </row>
    <row r="66" spans="1:2">
      <c r="A66" s="66"/>
      <c r="B66" s="66"/>
    </row>
    <row r="67" spans="1:2">
      <c r="A67" s="66"/>
      <c r="B67" s="66"/>
    </row>
    <row r="68" spans="1:2">
      <c r="A68" s="66"/>
      <c r="B68" s="66"/>
    </row>
    <row r="69" spans="1:2">
      <c r="A69" s="66"/>
      <c r="B69" s="66"/>
    </row>
    <row r="70" spans="1:2">
      <c r="A70" s="66"/>
      <c r="B70" s="66"/>
    </row>
    <row r="71" spans="1:2">
      <c r="A71" s="66"/>
      <c r="B71" s="66"/>
    </row>
    <row r="72" spans="1:2">
      <c r="A72" s="66"/>
      <c r="B72" s="66"/>
    </row>
    <row r="73" spans="1:2">
      <c r="A73" s="66"/>
      <c r="B73" s="66"/>
    </row>
    <row r="74" spans="1:2">
      <c r="A74" s="66"/>
      <c r="B74" s="66"/>
    </row>
    <row r="75" spans="1:2">
      <c r="A75" s="66"/>
      <c r="B75" s="66"/>
    </row>
    <row r="76" spans="1:2">
      <c r="A76" s="66"/>
      <c r="B76" s="66"/>
    </row>
    <row r="77" spans="1:2">
      <c r="A77" s="66"/>
      <c r="B77" s="66"/>
    </row>
    <row r="78" spans="1:2">
      <c r="A78" s="66"/>
      <c r="B78" s="66"/>
    </row>
    <row r="79" spans="1:2">
      <c r="A79" s="66"/>
      <c r="B79" s="66"/>
    </row>
    <row r="80" spans="1:2">
      <c r="A80" s="66"/>
      <c r="B80" s="66"/>
    </row>
    <row r="81" spans="1:2">
      <c r="A81" s="66"/>
      <c r="B81" s="66"/>
    </row>
    <row r="82" spans="1:2">
      <c r="A82" s="66"/>
      <c r="B82" s="66"/>
    </row>
    <row r="83" spans="1:2">
      <c r="A83" s="66"/>
      <c r="B83" s="66"/>
    </row>
    <row r="84" spans="1:2">
      <c r="A84" s="66"/>
      <c r="B84" s="66"/>
    </row>
    <row r="85" spans="1:2">
      <c r="A85" s="66"/>
      <c r="B85" s="66"/>
    </row>
    <row r="86" spans="1:2">
      <c r="A86" s="66"/>
      <c r="B86" s="66"/>
    </row>
    <row r="87" spans="1:2">
      <c r="A87" s="66"/>
      <c r="B87" s="66"/>
    </row>
    <row r="88" spans="1:2">
      <c r="A88" s="66"/>
      <c r="B88" s="66"/>
    </row>
    <row r="89" spans="1:2">
      <c r="A89" s="66"/>
      <c r="B89" s="66"/>
    </row>
    <row r="90" spans="1:2">
      <c r="A90" s="66"/>
      <c r="B90" s="66"/>
    </row>
    <row r="91" spans="1:2">
      <c r="A91" s="66"/>
      <c r="B91" s="66"/>
    </row>
    <row r="92" spans="1:2">
      <c r="A92" s="66"/>
      <c r="B92" s="66"/>
    </row>
    <row r="93" spans="1:2">
      <c r="A93" s="66"/>
      <c r="B93" s="66"/>
    </row>
    <row r="94" spans="1:2">
      <c r="A94" s="66"/>
      <c r="B94" s="66"/>
    </row>
    <row r="95" spans="1:2">
      <c r="A95" s="66"/>
      <c r="B95" s="66"/>
    </row>
    <row r="96" spans="1:2">
      <c r="A96" s="66"/>
      <c r="B96" s="66"/>
    </row>
    <row r="97" spans="1:2">
      <c r="A97" s="66"/>
      <c r="B97" s="66"/>
    </row>
    <row r="98" spans="1:2">
      <c r="A98" s="66"/>
      <c r="B98" s="66"/>
    </row>
    <row r="99" spans="1:2">
      <c r="A99" s="66"/>
      <c r="B99" s="66"/>
    </row>
    <row r="100" spans="1:2">
      <c r="A100" s="66"/>
      <c r="B100" s="66"/>
    </row>
    <row r="101" spans="1:2">
      <c r="A101" s="66"/>
      <c r="B101" s="66"/>
    </row>
    <row r="102" spans="1:2">
      <c r="A102" s="66"/>
      <c r="B102" s="66"/>
    </row>
    <row r="103" spans="1:2">
      <c r="A103" s="66"/>
      <c r="B103" s="66"/>
    </row>
    <row r="104" spans="1:2">
      <c r="A104" s="66"/>
      <c r="B104" s="66"/>
    </row>
    <row r="105" spans="1:2">
      <c r="A105" s="66"/>
      <c r="B105" s="66"/>
    </row>
    <row r="106" spans="1:2">
      <c r="A106" s="66"/>
      <c r="B106" s="66"/>
    </row>
    <row r="107" spans="1:2">
      <c r="A107" s="66"/>
      <c r="B107" s="66"/>
    </row>
    <row r="108" spans="1:2">
      <c r="A108" s="66"/>
      <c r="B108" s="66"/>
    </row>
    <row r="109" spans="1:2">
      <c r="A109" s="66"/>
      <c r="B109" s="66"/>
    </row>
    <row r="110" spans="1:2">
      <c r="A110" s="66"/>
      <c r="B110" s="66"/>
    </row>
    <row r="111" spans="1:2">
      <c r="A111" s="66"/>
      <c r="B111" s="66"/>
    </row>
    <row r="112" spans="1:2">
      <c r="A112" s="66"/>
      <c r="B112" s="66"/>
    </row>
    <row r="113" spans="1:2">
      <c r="A113" s="66"/>
      <c r="B113" s="66"/>
    </row>
    <row r="114" spans="1:2">
      <c r="A114" s="66"/>
      <c r="B114" s="66"/>
    </row>
    <row r="115" spans="1:2">
      <c r="A115" s="66"/>
      <c r="B115" s="66"/>
    </row>
    <row r="116" spans="1:2">
      <c r="A116" s="66"/>
      <c r="B116" s="66"/>
    </row>
    <row r="117" spans="1:2">
      <c r="A117" s="66"/>
      <c r="B117" s="66"/>
    </row>
    <row r="118" spans="1:2">
      <c r="A118" s="66"/>
      <c r="B118" s="66"/>
    </row>
    <row r="119" spans="1:2">
      <c r="A119" s="66"/>
      <c r="B119" s="66"/>
    </row>
    <row r="120" spans="1:2">
      <c r="A120" s="66"/>
      <c r="B120" s="66"/>
    </row>
    <row r="121" spans="1:2">
      <c r="A121" s="66"/>
      <c r="B121" s="66"/>
    </row>
    <row r="122" spans="1:2">
      <c r="A122" s="66"/>
      <c r="B122" s="66"/>
    </row>
    <row r="123" spans="1:2">
      <c r="A123" s="66"/>
      <c r="B123" s="66"/>
    </row>
    <row r="124" spans="1:2">
      <c r="A124" s="66"/>
      <c r="B124" s="66"/>
    </row>
    <row r="125" spans="1:2">
      <c r="A125" s="66"/>
      <c r="B125" s="66"/>
    </row>
    <row r="126" spans="1:2">
      <c r="A126" s="66"/>
      <c r="B126" s="66"/>
    </row>
    <row r="127" spans="1:2">
      <c r="A127" s="66"/>
      <c r="B127" s="66"/>
    </row>
    <row r="128" spans="1:2">
      <c r="A128" s="66"/>
      <c r="B128" s="66"/>
    </row>
    <row r="129" spans="1:2">
      <c r="A129" s="66"/>
      <c r="B129" s="66"/>
    </row>
    <row r="130" spans="1:2">
      <c r="A130" s="66"/>
      <c r="B130" s="66"/>
    </row>
    <row r="131" spans="1:2">
      <c r="A131" s="66"/>
      <c r="B131" s="66"/>
    </row>
    <row r="132" spans="1:2">
      <c r="A132" s="66"/>
      <c r="B132" s="66"/>
    </row>
    <row r="133" spans="1:2">
      <c r="A133" s="66"/>
      <c r="B133" s="66"/>
    </row>
    <row r="134" spans="1:2">
      <c r="A134" s="66"/>
      <c r="B134" s="66"/>
    </row>
    <row r="135" spans="1:2">
      <c r="A135" s="66"/>
      <c r="B135" s="66"/>
    </row>
    <row r="136" spans="1:2">
      <c r="A136" s="66"/>
      <c r="B136" s="66"/>
    </row>
    <row r="137" spans="1:2">
      <c r="A137" s="66"/>
      <c r="B137" s="66"/>
    </row>
    <row r="138" spans="1:2">
      <c r="A138" s="66"/>
      <c r="B138" s="66"/>
    </row>
    <row r="139" spans="1:2">
      <c r="A139" s="66"/>
      <c r="B139" s="66"/>
    </row>
    <row r="140" spans="1:2">
      <c r="A140" s="66"/>
      <c r="B140" s="66"/>
    </row>
    <row r="141" spans="1:2">
      <c r="A141" s="66"/>
      <c r="B141" s="66"/>
    </row>
    <row r="142" spans="1:2">
      <c r="A142" s="66"/>
      <c r="B142" s="66"/>
    </row>
    <row r="143" spans="1:2">
      <c r="A143" s="66"/>
      <c r="B143" s="66"/>
    </row>
    <row r="144" spans="1:2">
      <c r="A144" s="66"/>
      <c r="B144" s="66"/>
    </row>
    <row r="145" spans="1:2">
      <c r="A145" s="66"/>
      <c r="B145" s="66"/>
    </row>
    <row r="146" spans="1:2">
      <c r="A146" s="66"/>
      <c r="B146" s="66"/>
    </row>
    <row r="147" spans="1:2">
      <c r="A147" s="66"/>
      <c r="B147" s="66"/>
    </row>
    <row r="148" spans="1:2">
      <c r="A148" s="66"/>
      <c r="B148" s="66"/>
    </row>
    <row r="149" spans="1:2">
      <c r="A149" s="66"/>
      <c r="B149" s="66"/>
    </row>
    <row r="150" spans="1:2">
      <c r="A150" s="66"/>
      <c r="B150" s="66"/>
    </row>
    <row r="151" spans="1:2">
      <c r="A151" s="66"/>
      <c r="B151" s="66"/>
    </row>
    <row r="152" spans="1:2">
      <c r="A152" s="66"/>
      <c r="B152" s="66"/>
    </row>
    <row r="153" spans="1:2">
      <c r="A153" s="66"/>
      <c r="B153" s="66"/>
    </row>
    <row r="154" spans="1:2">
      <c r="A154" s="66"/>
      <c r="B154" s="66"/>
    </row>
    <row r="155" spans="1:2">
      <c r="A155" s="66"/>
      <c r="B155" s="66"/>
    </row>
    <row r="156" spans="1:2">
      <c r="A156" s="66"/>
      <c r="B156" s="66"/>
    </row>
    <row r="157" spans="1:2">
      <c r="A157" s="66"/>
      <c r="B157" s="66"/>
    </row>
    <row r="158" spans="1:2">
      <c r="A158" s="66"/>
      <c r="B158" s="66"/>
    </row>
    <row r="159" spans="1:2">
      <c r="A159" s="66"/>
      <c r="B159" s="66"/>
    </row>
    <row r="160" spans="1:2">
      <c r="A160" s="66"/>
      <c r="B160" s="66"/>
    </row>
    <row r="161" spans="1:2">
      <c r="A161" s="66"/>
      <c r="B161" s="66"/>
    </row>
    <row r="162" spans="1:2">
      <c r="A162" s="66"/>
      <c r="B162" s="66"/>
    </row>
    <row r="163" spans="1:2">
      <c r="A163" s="66"/>
      <c r="B163" s="66"/>
    </row>
    <row r="164" spans="1:2">
      <c r="A164" s="66"/>
      <c r="B164" s="66"/>
    </row>
    <row r="165" spans="1:2">
      <c r="A165" s="66"/>
      <c r="B165" s="66"/>
    </row>
    <row r="166" spans="1:2">
      <c r="A166" s="66"/>
      <c r="B166" s="66"/>
    </row>
    <row r="167" spans="1:2">
      <c r="A167" s="66"/>
      <c r="B167" s="66"/>
    </row>
    <row r="168" spans="1:2">
      <c r="A168" s="66"/>
      <c r="B168" s="66"/>
    </row>
    <row r="169" spans="1:2">
      <c r="A169" s="66"/>
      <c r="B169" s="66"/>
    </row>
    <row r="170" spans="1:2">
      <c r="A170" s="66"/>
      <c r="B170" s="66"/>
    </row>
    <row r="171" spans="1:2">
      <c r="A171" s="66"/>
      <c r="B171" s="66"/>
    </row>
    <row r="172" spans="1:2">
      <c r="A172" s="66"/>
      <c r="B172" s="66"/>
    </row>
    <row r="173" spans="1:2">
      <c r="A173" s="66"/>
      <c r="B173" s="66"/>
    </row>
    <row r="174" spans="1:2">
      <c r="A174" s="66"/>
      <c r="B174" s="66"/>
    </row>
    <row r="175" spans="1:2">
      <c r="A175" s="66"/>
      <c r="B175" s="66"/>
    </row>
    <row r="176" spans="1:2">
      <c r="A176" s="66"/>
      <c r="B176" s="66"/>
    </row>
    <row r="177" spans="1:2">
      <c r="A177" s="66"/>
      <c r="B177" s="66"/>
    </row>
    <row r="178" spans="1:2">
      <c r="A178" s="66"/>
      <c r="B178" s="66"/>
    </row>
    <row r="179" spans="1:2">
      <c r="A179" s="66"/>
      <c r="B179" s="66"/>
    </row>
    <row r="180" spans="1:2">
      <c r="A180" s="66"/>
      <c r="B180" s="66"/>
    </row>
    <row r="181" spans="1:2">
      <c r="A181" s="66"/>
      <c r="B181" s="66"/>
    </row>
    <row r="182" spans="1:2">
      <c r="A182" s="66"/>
      <c r="B182" s="66"/>
    </row>
    <row r="183" spans="1:2">
      <c r="A183" s="66"/>
      <c r="B183" s="66"/>
    </row>
    <row r="184" spans="1:2">
      <c r="A184" s="66"/>
      <c r="B184" s="66"/>
    </row>
    <row r="185" spans="1:2">
      <c r="A185" s="66"/>
      <c r="B185" s="66"/>
    </row>
    <row r="186" spans="1:2">
      <c r="A186" s="66"/>
      <c r="B186" s="66"/>
    </row>
    <row r="187" spans="1:2">
      <c r="A187" s="66"/>
      <c r="B187" s="66"/>
    </row>
    <row r="188" spans="1:2">
      <c r="A188" s="66"/>
      <c r="B188" s="66"/>
    </row>
    <row r="189" spans="1:2">
      <c r="A189" s="66"/>
      <c r="B189" s="66"/>
    </row>
    <row r="190" spans="1:2">
      <c r="A190" s="66"/>
      <c r="B190" s="66"/>
    </row>
    <row r="191" spans="1:2">
      <c r="A191" s="66"/>
      <c r="B191" s="66"/>
    </row>
    <row r="192" spans="1:2">
      <c r="A192" s="66"/>
      <c r="B192" s="66"/>
    </row>
    <row r="193" spans="1:2">
      <c r="A193" s="66"/>
      <c r="B193" s="66"/>
    </row>
    <row r="194" spans="1:2">
      <c r="A194" s="66"/>
      <c r="B194" s="66"/>
    </row>
    <row r="195" spans="1:2">
      <c r="A195" s="66"/>
      <c r="B195" s="66"/>
    </row>
    <row r="196" spans="1:2">
      <c r="A196" s="66"/>
      <c r="B196" s="66"/>
    </row>
    <row r="197" spans="1:2">
      <c r="A197" s="66"/>
      <c r="B197" s="66"/>
    </row>
    <row r="198" spans="1:2">
      <c r="A198" s="66"/>
      <c r="B198" s="66"/>
    </row>
    <row r="199" spans="1:2">
      <c r="A199" s="66"/>
      <c r="B199" s="66"/>
    </row>
    <row r="200" spans="1:2">
      <c r="A200" s="66"/>
      <c r="B200" s="66"/>
    </row>
    <row r="201" spans="1:2">
      <c r="A201" s="66"/>
      <c r="B201" s="66"/>
    </row>
    <row r="202" spans="1:2">
      <c r="A202" s="66"/>
      <c r="B202" s="66"/>
    </row>
    <row r="203" spans="1:2">
      <c r="A203" s="66"/>
      <c r="B203" s="66"/>
    </row>
    <row r="204" spans="1:2">
      <c r="A204" s="66"/>
      <c r="B204" s="66"/>
    </row>
    <row r="205" spans="1:2">
      <c r="A205" s="66"/>
      <c r="B205" s="66"/>
    </row>
    <row r="206" spans="1:2">
      <c r="A206" s="66"/>
      <c r="B206" s="66"/>
    </row>
    <row r="207" spans="1:2">
      <c r="A207" s="66"/>
      <c r="B207" s="66"/>
    </row>
    <row r="208" spans="1:2">
      <c r="A208" s="66"/>
      <c r="B208" s="66"/>
    </row>
    <row r="209" spans="1:2">
      <c r="A209" s="66"/>
      <c r="B209" s="66"/>
    </row>
    <row r="210" spans="1:2">
      <c r="A210" s="66"/>
      <c r="B210" s="66"/>
    </row>
    <row r="211" spans="1:2">
      <c r="A211" s="66"/>
      <c r="B211" s="66"/>
    </row>
    <row r="212" spans="1:2">
      <c r="A212" s="66"/>
      <c r="B212" s="66"/>
    </row>
    <row r="213" spans="1:2">
      <c r="A213" s="66"/>
      <c r="B213" s="66"/>
    </row>
    <row r="214" spans="1:2">
      <c r="A214" s="66"/>
      <c r="B214" s="66"/>
    </row>
    <row r="215" spans="1:2">
      <c r="A215" s="66"/>
      <c r="B215" s="66"/>
    </row>
    <row r="216" spans="1:2">
      <c r="A216" s="66"/>
      <c r="B216" s="66"/>
    </row>
    <row r="217" spans="1:2">
      <c r="A217" s="66"/>
      <c r="B217" s="66"/>
    </row>
    <row r="218" spans="1:2">
      <c r="A218" s="66"/>
      <c r="B218" s="66"/>
    </row>
    <row r="219" spans="1:2">
      <c r="A219" s="66"/>
      <c r="B219" s="66"/>
    </row>
    <row r="220" spans="1:2">
      <c r="A220" s="66"/>
      <c r="B220" s="66"/>
    </row>
    <row r="221" spans="1:2">
      <c r="A221" s="66"/>
      <c r="B221" s="66"/>
    </row>
    <row r="222" spans="1:2">
      <c r="A222" s="66"/>
      <c r="B222" s="66"/>
    </row>
    <row r="223" spans="1:2">
      <c r="A223" s="66"/>
      <c r="B223" s="66"/>
    </row>
    <row r="224" spans="1:2">
      <c r="A224" s="66"/>
      <c r="B224" s="66"/>
    </row>
    <row r="225" spans="1:2">
      <c r="A225" s="66"/>
      <c r="B225" s="66"/>
    </row>
    <row r="226" spans="1:2">
      <c r="A226" s="66"/>
      <c r="B226" s="66"/>
    </row>
    <row r="227" spans="1:2">
      <c r="A227" s="66"/>
      <c r="B227" s="66"/>
    </row>
    <row r="228" spans="1:2">
      <c r="A228" s="66"/>
      <c r="B228" s="66"/>
    </row>
    <row r="229" spans="1:2">
      <c r="A229" s="66"/>
      <c r="B229" s="66"/>
    </row>
    <row r="230" spans="1:2">
      <c r="A230" s="66"/>
      <c r="B230" s="66"/>
    </row>
    <row r="231" spans="1:2">
      <c r="A231" s="66"/>
      <c r="B231" s="66"/>
    </row>
    <row r="232" spans="1:2">
      <c r="A232" s="66"/>
      <c r="B232" s="66"/>
    </row>
    <row r="233" spans="1:2">
      <c r="A233" s="66"/>
      <c r="B233" s="66"/>
    </row>
    <row r="234" spans="1:2">
      <c r="A234" s="66"/>
      <c r="B234" s="66"/>
    </row>
    <row r="235" spans="1:2">
      <c r="A235" s="66"/>
      <c r="B235" s="66"/>
    </row>
    <row r="236" spans="1:2">
      <c r="A236" s="66"/>
      <c r="B236" s="66"/>
    </row>
    <row r="237" spans="1:2">
      <c r="A237" s="66"/>
      <c r="B237" s="66"/>
    </row>
    <row r="238" spans="1:2">
      <c r="A238" s="66"/>
      <c r="B238" s="66"/>
    </row>
    <row r="239" spans="1:2">
      <c r="A239" s="66"/>
      <c r="B239" s="66"/>
    </row>
    <row r="240" spans="1:2">
      <c r="A240" s="66"/>
      <c r="B240" s="66"/>
    </row>
    <row r="241" spans="1:2">
      <c r="A241" s="66"/>
      <c r="B241" s="66"/>
    </row>
    <row r="242" spans="1:2">
      <c r="A242" s="66"/>
      <c r="B242" s="66"/>
    </row>
    <row r="243" spans="1:2">
      <c r="A243" s="66"/>
      <c r="B243" s="66"/>
    </row>
    <row r="244" spans="1:2">
      <c r="A244" s="66"/>
      <c r="B244" s="66"/>
    </row>
    <row r="245" spans="1:2">
      <c r="A245" s="66"/>
      <c r="B245" s="66"/>
    </row>
    <row r="246" spans="1:2">
      <c r="A246" s="66"/>
      <c r="B246" s="66"/>
    </row>
    <row r="247" spans="1:2">
      <c r="A247" s="66"/>
      <c r="B247" s="66"/>
    </row>
    <row r="248" spans="1:2">
      <c r="A248" s="66"/>
      <c r="B248" s="66"/>
    </row>
    <row r="249" spans="1:2">
      <c r="A249" s="66"/>
      <c r="B249" s="66"/>
    </row>
    <row r="250" spans="1:2">
      <c r="A250" s="66"/>
      <c r="B250" s="66"/>
    </row>
    <row r="251" spans="1:2">
      <c r="A251" s="66"/>
      <c r="B251" s="66"/>
    </row>
    <row r="252" spans="1:2">
      <c r="A252" s="66"/>
      <c r="B252" s="66"/>
    </row>
    <row r="253" spans="1:2">
      <c r="A253" s="66"/>
      <c r="B253" s="66"/>
    </row>
    <row r="254" spans="1:2">
      <c r="A254" s="66"/>
      <c r="B254" s="66"/>
    </row>
    <row r="255" spans="1:2">
      <c r="A255" s="66"/>
      <c r="B255" s="66"/>
    </row>
    <row r="256" spans="1:2">
      <c r="A256" s="66"/>
      <c r="B256" s="66"/>
    </row>
    <row r="257" spans="1:2">
      <c r="A257" s="66"/>
      <c r="B257" s="66"/>
    </row>
    <row r="258" spans="1:2">
      <c r="A258" s="66"/>
      <c r="B258" s="66"/>
    </row>
    <row r="259" spans="1:2">
      <c r="A259" s="66"/>
      <c r="B259" s="66"/>
    </row>
    <row r="260" spans="1:2">
      <c r="A260" s="66"/>
      <c r="B260" s="66"/>
    </row>
    <row r="261" spans="1:2">
      <c r="A261" s="66"/>
      <c r="B261" s="66"/>
    </row>
    <row r="262" spans="1:2">
      <c r="A262" s="66"/>
      <c r="B262" s="66"/>
    </row>
    <row r="263" spans="1:2">
      <c r="A263" s="66"/>
      <c r="B263" s="66"/>
    </row>
    <row r="264" spans="1:2">
      <c r="A264" s="66"/>
      <c r="B264" s="66"/>
    </row>
    <row r="265" spans="1:2">
      <c r="A265" s="66"/>
      <c r="B265" s="66"/>
    </row>
    <row r="266" spans="1:2">
      <c r="A266" s="66"/>
      <c r="B266" s="66"/>
    </row>
    <row r="267" spans="1:2">
      <c r="A267" s="66"/>
      <c r="B267" s="66"/>
    </row>
    <row r="268" spans="1:2">
      <c r="A268" s="66"/>
      <c r="B268" s="66"/>
    </row>
    <row r="269" spans="1:2">
      <c r="A269" s="66"/>
      <c r="B269" s="66"/>
    </row>
    <row r="270" spans="1:2">
      <c r="A270" s="66"/>
      <c r="B270" s="66"/>
    </row>
    <row r="271" spans="1:2">
      <c r="A271" s="66"/>
      <c r="B271" s="66"/>
    </row>
    <row r="272" spans="1:2">
      <c r="A272" s="66"/>
      <c r="B272" s="66"/>
    </row>
    <row r="273" spans="1:2">
      <c r="A273" s="66"/>
      <c r="B273" s="66"/>
    </row>
    <row r="274" spans="1:2">
      <c r="A274" s="66"/>
      <c r="B274" s="66"/>
    </row>
    <row r="275" spans="1:2">
      <c r="A275" s="66"/>
      <c r="B275" s="66"/>
    </row>
    <row r="276" spans="1:2">
      <c r="A276" s="66"/>
      <c r="B276" s="66"/>
    </row>
    <row r="277" spans="1:2">
      <c r="A277" s="66"/>
      <c r="B277" s="66"/>
    </row>
    <row r="278" spans="1:2">
      <c r="A278" s="66"/>
      <c r="B278" s="66"/>
    </row>
    <row r="279" spans="1:2">
      <c r="A279" s="66"/>
      <c r="B279" s="66"/>
    </row>
    <row r="280" spans="1:2">
      <c r="A280" s="66"/>
      <c r="B280" s="66"/>
    </row>
    <row r="281" spans="1:2">
      <c r="A281" s="66"/>
      <c r="B281" s="66"/>
    </row>
    <row r="282" spans="1:2">
      <c r="A282" s="66"/>
      <c r="B282" s="66"/>
    </row>
    <row r="283" spans="1:2">
      <c r="A283" s="66"/>
      <c r="B283" s="66"/>
    </row>
    <row r="284" spans="1:2">
      <c r="A284" s="66"/>
      <c r="B284" s="66"/>
    </row>
    <row r="285" spans="1:2">
      <c r="A285" s="66"/>
      <c r="B285" s="66"/>
    </row>
    <row r="286" spans="1:2">
      <c r="A286" s="66"/>
      <c r="B286" s="66"/>
    </row>
    <row r="287" spans="1:2">
      <c r="A287" s="66"/>
      <c r="B287" s="66"/>
    </row>
    <row r="288" spans="1:2">
      <c r="A288" s="66"/>
      <c r="B288" s="66"/>
    </row>
    <row r="289" spans="1:2">
      <c r="A289" s="66"/>
      <c r="B289" s="66"/>
    </row>
    <row r="290" spans="1:2">
      <c r="A290" s="66"/>
      <c r="B290" s="66"/>
    </row>
    <row r="291" spans="1:2">
      <c r="A291" s="66"/>
      <c r="B291" s="66"/>
    </row>
    <row r="292" spans="1:2">
      <c r="A292" s="66"/>
      <c r="B292" s="66"/>
    </row>
    <row r="293" spans="1:2">
      <c r="A293" s="66"/>
      <c r="B293" s="66"/>
    </row>
    <row r="294" spans="1:2">
      <c r="A294" s="66"/>
      <c r="B294" s="66"/>
    </row>
    <row r="295" spans="1:2">
      <c r="A295" s="66"/>
      <c r="B295" s="66"/>
    </row>
    <row r="296" spans="1:2">
      <c r="A296" s="66"/>
      <c r="B296" s="66"/>
    </row>
    <row r="297" spans="1:2">
      <c r="A297" s="66"/>
      <c r="B297" s="66"/>
    </row>
    <row r="298" spans="1:2">
      <c r="A298" s="66"/>
      <c r="B298" s="66"/>
    </row>
    <row r="299" spans="1:2">
      <c r="A299" s="66"/>
      <c r="B299" s="66"/>
    </row>
    <row r="300" spans="1:2">
      <c r="A300" s="66"/>
      <c r="B300" s="66"/>
    </row>
    <row r="301" spans="1:2">
      <c r="A301" s="66"/>
      <c r="B301" s="66"/>
    </row>
    <row r="302" spans="1:2">
      <c r="A302" s="66"/>
      <c r="B302" s="66"/>
    </row>
    <row r="303" spans="1:2">
      <c r="A303" s="66"/>
      <c r="B303" s="66"/>
    </row>
    <row r="304" spans="1:2">
      <c r="A304" s="66"/>
      <c r="B304" s="66"/>
    </row>
    <row r="305" spans="1:2">
      <c r="A305" s="66"/>
      <c r="B305" s="66"/>
    </row>
    <row r="306" spans="1:2">
      <c r="A306" s="66"/>
      <c r="B306" s="66"/>
    </row>
    <row r="307" spans="1:2">
      <c r="A307" s="66"/>
      <c r="B307" s="66"/>
    </row>
    <row r="308" spans="1:2">
      <c r="A308" s="66"/>
      <c r="B308" s="66"/>
    </row>
    <row r="309" spans="1:2">
      <c r="A309" s="66"/>
      <c r="B309" s="66"/>
    </row>
    <row r="310" spans="1:2">
      <c r="A310" s="66"/>
      <c r="B310" s="66"/>
    </row>
    <row r="311" spans="1:2">
      <c r="A311" s="66"/>
      <c r="B311" s="66"/>
    </row>
    <row r="312" spans="1:2">
      <c r="A312" s="66"/>
      <c r="B312" s="66"/>
    </row>
    <row r="313" spans="1:2">
      <c r="A313" s="66"/>
      <c r="B313" s="66"/>
    </row>
    <row r="314" spans="1:2">
      <c r="A314" s="66"/>
      <c r="B314" s="66"/>
    </row>
    <row r="315" spans="1:2">
      <c r="A315" s="66"/>
      <c r="B315" s="66"/>
    </row>
    <row r="316" spans="1:2">
      <c r="A316" s="66"/>
      <c r="B316" s="66"/>
    </row>
    <row r="317" spans="1:2">
      <c r="A317" s="66"/>
      <c r="B317" s="66"/>
    </row>
    <row r="318" spans="1:2">
      <c r="A318" s="66"/>
      <c r="B318" s="66"/>
    </row>
    <row r="319" spans="1:2">
      <c r="A319" s="66"/>
      <c r="B319" s="66"/>
    </row>
    <row r="320" spans="1:2">
      <c r="A320" s="66"/>
      <c r="B320" s="66"/>
    </row>
    <row r="321" spans="1:2">
      <c r="A321" s="66"/>
      <c r="B321" s="66"/>
    </row>
    <row r="322" spans="1:2">
      <c r="A322" s="66"/>
      <c r="B322" s="66"/>
    </row>
    <row r="323" spans="1:2">
      <c r="A323" s="66"/>
      <c r="B323" s="66"/>
    </row>
    <row r="324" spans="1:2">
      <c r="A324" s="66"/>
      <c r="B324" s="66"/>
    </row>
    <row r="325" spans="1:2">
      <c r="A325" s="66"/>
      <c r="B325" s="66"/>
    </row>
    <row r="326" spans="1:2">
      <c r="A326" s="66"/>
      <c r="B326" s="66"/>
    </row>
    <row r="327" spans="1:2">
      <c r="A327" s="66"/>
      <c r="B327" s="66"/>
    </row>
    <row r="328" spans="1:2">
      <c r="A328" s="66"/>
      <c r="B328" s="66"/>
    </row>
    <row r="329" spans="1:2">
      <c r="A329" s="66"/>
      <c r="B329" s="66"/>
    </row>
    <row r="330" spans="1:2">
      <c r="A330" s="66"/>
      <c r="B330" s="66"/>
    </row>
    <row r="331" spans="1:2">
      <c r="A331" s="66"/>
      <c r="B331" s="66"/>
    </row>
    <row r="332" spans="1:2">
      <c r="A332" s="66"/>
      <c r="B332" s="66"/>
    </row>
    <row r="333" spans="1:2">
      <c r="A333" s="66"/>
      <c r="B333" s="66"/>
    </row>
    <row r="334" spans="1:2">
      <c r="A334" s="66"/>
      <c r="B334" s="66"/>
    </row>
    <row r="335" spans="1:2">
      <c r="A335" s="66"/>
      <c r="B335" s="66"/>
    </row>
    <row r="336" spans="1:2">
      <c r="A336" s="66"/>
      <c r="B336" s="66"/>
    </row>
    <row r="337" spans="1:2">
      <c r="A337" s="66"/>
      <c r="B337" s="66"/>
    </row>
    <row r="338" spans="1:2">
      <c r="A338" s="66"/>
      <c r="B338" s="66"/>
    </row>
    <row r="339" spans="1:2">
      <c r="A339" s="66"/>
      <c r="B339" s="66"/>
    </row>
    <row r="340" spans="1:2">
      <c r="A340" s="66"/>
      <c r="B340" s="66"/>
    </row>
    <row r="341" spans="1:2">
      <c r="A341" s="66"/>
      <c r="B341" s="66"/>
    </row>
    <row r="342" spans="1:2">
      <c r="A342" s="66"/>
      <c r="B342" s="66"/>
    </row>
    <row r="343" spans="1:2">
      <c r="A343" s="66"/>
      <c r="B343" s="66"/>
    </row>
    <row r="344" spans="1:2">
      <c r="A344" s="66"/>
      <c r="B344" s="66"/>
    </row>
    <row r="345" spans="1:2">
      <c r="A345" s="66"/>
      <c r="B345" s="66"/>
    </row>
    <row r="346" spans="1:2">
      <c r="A346" s="66"/>
      <c r="B346" s="66"/>
    </row>
    <row r="347" spans="1:2">
      <c r="A347" s="66"/>
      <c r="B347" s="66"/>
    </row>
    <row r="348" spans="1:2">
      <c r="A348" s="66"/>
      <c r="B348" s="66"/>
    </row>
    <row r="349" spans="1:2">
      <c r="A349" s="66"/>
      <c r="B349" s="66"/>
    </row>
    <row r="350" spans="1:2">
      <c r="A350" s="66"/>
      <c r="B350" s="66"/>
    </row>
    <row r="351" spans="1:2">
      <c r="A351" s="66"/>
      <c r="B351" s="66"/>
    </row>
    <row r="352" spans="1:2">
      <c r="A352" s="66"/>
      <c r="B352" s="66"/>
    </row>
    <row r="353" spans="1:2">
      <c r="A353" s="66"/>
      <c r="B353" s="66"/>
    </row>
    <row r="354" spans="1:2">
      <c r="A354" s="66"/>
      <c r="B354" s="66"/>
    </row>
    <row r="355" spans="1:2">
      <c r="A355" s="66"/>
      <c r="B355" s="66"/>
    </row>
    <row r="356" spans="1:2">
      <c r="A356" s="66"/>
      <c r="B356" s="66"/>
    </row>
    <row r="357" spans="1:2">
      <c r="A357" s="66"/>
      <c r="B357" s="66"/>
    </row>
    <row r="358" spans="1:2">
      <c r="A358" s="66"/>
      <c r="B358" s="66"/>
    </row>
    <row r="359" spans="1:2">
      <c r="A359" s="66"/>
      <c r="B359" s="66"/>
    </row>
    <row r="360" spans="1:2">
      <c r="A360" s="66"/>
      <c r="B360" s="66"/>
    </row>
    <row r="361" spans="1:2">
      <c r="A361" s="66"/>
      <c r="B361" s="66"/>
    </row>
    <row r="362" spans="1:2">
      <c r="A362" s="66"/>
      <c r="B362" s="66"/>
    </row>
    <row r="363" spans="1:2">
      <c r="A363" s="66"/>
      <c r="B363" s="66"/>
    </row>
    <row r="364" spans="1:2">
      <c r="A364" s="66"/>
      <c r="B364" s="66"/>
    </row>
    <row r="365" spans="1:2">
      <c r="A365" s="66"/>
      <c r="B365" s="66"/>
    </row>
    <row r="366" spans="1:2">
      <c r="A366" s="66"/>
      <c r="B366" s="66"/>
    </row>
    <row r="367" spans="1:2">
      <c r="A367" s="66"/>
      <c r="B367" s="66"/>
    </row>
    <row r="368" spans="1:2">
      <c r="A368" s="66"/>
      <c r="B368" s="66"/>
    </row>
    <row r="369" spans="1:2">
      <c r="A369" s="66"/>
      <c r="B369" s="66"/>
    </row>
    <row r="370" spans="1:2">
      <c r="A370" s="66"/>
      <c r="B370" s="66"/>
    </row>
    <row r="371" spans="1:2">
      <c r="A371" s="66"/>
      <c r="B371" s="66"/>
    </row>
    <row r="372" spans="1:2">
      <c r="A372" s="66"/>
      <c r="B372" s="66"/>
    </row>
    <row r="373" spans="1:2">
      <c r="A373" s="66"/>
      <c r="B373" s="66"/>
    </row>
    <row r="374" spans="1:2">
      <c r="A374" s="66"/>
      <c r="B374" s="66"/>
    </row>
    <row r="375" spans="1:2">
      <c r="A375" s="66"/>
      <c r="B375" s="66"/>
    </row>
    <row r="376" spans="1:2">
      <c r="A376" s="66"/>
      <c r="B376" s="66"/>
    </row>
    <row r="377" spans="1:2">
      <c r="A377" s="66"/>
      <c r="B377" s="66"/>
    </row>
    <row r="378" spans="1:2">
      <c r="A378" s="66"/>
      <c r="B378" s="66"/>
    </row>
    <row r="379" spans="1:2">
      <c r="A379" s="66"/>
      <c r="B379" s="66"/>
    </row>
    <row r="380" spans="1:2">
      <c r="A380" s="66"/>
      <c r="B380" s="66"/>
    </row>
    <row r="381" spans="1:2">
      <c r="A381" s="66"/>
      <c r="B381" s="66"/>
    </row>
    <row r="382" spans="1:2">
      <c r="A382" s="66"/>
      <c r="B382" s="66"/>
    </row>
    <row r="383" spans="1:2">
      <c r="A383" s="66"/>
      <c r="B383" s="66"/>
    </row>
    <row r="384" spans="1:2">
      <c r="A384" s="66"/>
      <c r="B384" s="66"/>
    </row>
    <row r="385" spans="1:2">
      <c r="A385" s="66"/>
      <c r="B385" s="66"/>
    </row>
    <row r="386" spans="1:2">
      <c r="A386" s="66"/>
      <c r="B386" s="66"/>
    </row>
    <row r="387" spans="1:2">
      <c r="A387" s="66"/>
      <c r="B387" s="66"/>
    </row>
    <row r="388" spans="1:2">
      <c r="A388" s="66"/>
      <c r="B388" s="66"/>
    </row>
    <row r="389" spans="1:2">
      <c r="A389" s="66"/>
      <c r="B389" s="66"/>
    </row>
    <row r="390" spans="1:2">
      <c r="A390" s="66"/>
      <c r="B390" s="66"/>
    </row>
    <row r="391" spans="1:2">
      <c r="A391" s="66"/>
      <c r="B391" s="66"/>
    </row>
    <row r="392" spans="1:2">
      <c r="A392" s="66"/>
      <c r="B392" s="66"/>
    </row>
    <row r="393" spans="1:2">
      <c r="A393" s="66"/>
      <c r="B393" s="66"/>
    </row>
    <row r="394" spans="1:2">
      <c r="A394" s="66"/>
      <c r="B394" s="66"/>
    </row>
    <row r="395" spans="1:2">
      <c r="A395" s="66"/>
      <c r="B395" s="66"/>
    </row>
    <row r="396" spans="1:2">
      <c r="A396" s="66"/>
      <c r="B396" s="66"/>
    </row>
    <row r="397" spans="1:2">
      <c r="A397" s="66"/>
      <c r="B397" s="66"/>
    </row>
    <row r="398" spans="1:2">
      <c r="A398" s="66"/>
      <c r="B398" s="66"/>
    </row>
    <row r="399" spans="1:2">
      <c r="A399" s="66"/>
      <c r="B399" s="66"/>
    </row>
    <row r="400" spans="1:2">
      <c r="A400" s="66"/>
      <c r="B400" s="66"/>
    </row>
    <row r="401" spans="1:2">
      <c r="A401" s="66"/>
      <c r="B401" s="66"/>
    </row>
    <row r="402" spans="1:2">
      <c r="A402" s="66"/>
      <c r="B402" s="66"/>
    </row>
    <row r="403" spans="1:2">
      <c r="A403" s="66"/>
      <c r="B403" s="66"/>
    </row>
    <row r="404" spans="1:2">
      <c r="A404" s="66"/>
      <c r="B404" s="66"/>
    </row>
    <row r="405" spans="1:2">
      <c r="A405" s="66"/>
      <c r="B405" s="66"/>
    </row>
    <row r="406" spans="1:2">
      <c r="A406" s="66"/>
      <c r="B406" s="66"/>
    </row>
    <row r="407" spans="1:2">
      <c r="A407" s="66"/>
      <c r="B407" s="66"/>
    </row>
    <row r="408" spans="1:2">
      <c r="A408" s="66"/>
      <c r="B408" s="66"/>
    </row>
    <row r="409" spans="1:2">
      <c r="A409" s="66"/>
      <c r="B409" s="66"/>
    </row>
    <row r="410" spans="1:2">
      <c r="A410" s="66"/>
      <c r="B410" s="66"/>
    </row>
    <row r="411" spans="1:2">
      <c r="A411" s="66"/>
      <c r="B411" s="66"/>
    </row>
    <row r="412" spans="1:2">
      <c r="A412" s="66"/>
      <c r="B412" s="66"/>
    </row>
    <row r="413" spans="1:2">
      <c r="A413" s="66"/>
      <c r="B413" s="66"/>
    </row>
    <row r="414" spans="1:2">
      <c r="A414" s="66"/>
      <c r="B414" s="66"/>
    </row>
    <row r="415" spans="1:2">
      <c r="A415" s="66"/>
      <c r="B415" s="66"/>
    </row>
    <row r="416" spans="1:2">
      <c r="A416" s="66"/>
      <c r="B416" s="66"/>
    </row>
    <row r="417" spans="1:2">
      <c r="A417" s="66"/>
      <c r="B417" s="66"/>
    </row>
    <row r="418" spans="1:2">
      <c r="A418" s="66"/>
      <c r="B418" s="66"/>
    </row>
    <row r="419" spans="1:2">
      <c r="A419" s="66"/>
      <c r="B419" s="66"/>
    </row>
    <row r="420" spans="1:2">
      <c r="A420" s="66"/>
      <c r="B420" s="66"/>
    </row>
    <row r="421" spans="1:2">
      <c r="A421" s="66"/>
      <c r="B421" s="66"/>
    </row>
    <row r="422" spans="1:2">
      <c r="A422" s="66"/>
      <c r="B422" s="66"/>
    </row>
    <row r="423" spans="1:2">
      <c r="A423" s="66"/>
      <c r="B423" s="66"/>
    </row>
    <row r="424" spans="1:2">
      <c r="A424" s="66"/>
      <c r="B424" s="66"/>
    </row>
    <row r="425" spans="1:2">
      <c r="A425" s="66"/>
      <c r="B425" s="66"/>
    </row>
    <row r="426" spans="1:2">
      <c r="A426" s="66"/>
      <c r="B426" s="66"/>
    </row>
    <row r="427" spans="1:2">
      <c r="A427" s="66"/>
      <c r="B427" s="66"/>
    </row>
    <row r="428" spans="1:2">
      <c r="A428" s="66"/>
      <c r="B428" s="66"/>
    </row>
    <row r="429" spans="1:2">
      <c r="A429" s="66"/>
      <c r="B429" s="66"/>
    </row>
    <row r="430" spans="1:2">
      <c r="A430" s="66"/>
      <c r="B430" s="66"/>
    </row>
    <row r="431" spans="1:2">
      <c r="A431" s="66"/>
      <c r="B431" s="66"/>
    </row>
    <row r="432" spans="1:2">
      <c r="A432" s="66"/>
      <c r="B432" s="66"/>
    </row>
    <row r="433" spans="1:2">
      <c r="A433" s="66"/>
      <c r="B433" s="66"/>
    </row>
    <row r="434" spans="1:2">
      <c r="A434" s="66"/>
      <c r="B434" s="66"/>
    </row>
    <row r="435" spans="1:2">
      <c r="A435" s="66"/>
      <c r="B435" s="66"/>
    </row>
    <row r="436" spans="1:2">
      <c r="A436" s="66"/>
      <c r="B436" s="66"/>
    </row>
    <row r="437" spans="1:2">
      <c r="A437" s="66"/>
      <c r="B437" s="66"/>
    </row>
    <row r="438" spans="1:2">
      <c r="A438" s="66"/>
      <c r="B438" s="66"/>
    </row>
    <row r="439" spans="1:2">
      <c r="A439" s="66"/>
      <c r="B439" s="66"/>
    </row>
    <row r="440" spans="1:2">
      <c r="A440" s="66"/>
      <c r="B440" s="66"/>
    </row>
    <row r="441" spans="1:2">
      <c r="A441" s="66"/>
      <c r="B441" s="66"/>
    </row>
    <row r="442" spans="1:2">
      <c r="A442" s="66"/>
      <c r="B442" s="66"/>
    </row>
    <row r="443" spans="1:2">
      <c r="A443" s="66"/>
      <c r="B443" s="66"/>
    </row>
    <row r="444" spans="1:2">
      <c r="A444" s="66"/>
      <c r="B444" s="66"/>
    </row>
    <row r="445" spans="1:2">
      <c r="A445" s="66"/>
      <c r="B445" s="66"/>
    </row>
    <row r="446" spans="1:2">
      <c r="A446" s="66"/>
      <c r="B446" s="66"/>
    </row>
    <row r="447" spans="1:2">
      <c r="A447" s="66"/>
      <c r="B447" s="66"/>
    </row>
    <row r="448" spans="1:2">
      <c r="A448" s="66"/>
      <c r="B448" s="66"/>
    </row>
    <row r="449" spans="1:2">
      <c r="A449" s="66"/>
      <c r="B449" s="66"/>
    </row>
    <row r="450" spans="1:2">
      <c r="A450" s="66"/>
      <c r="B450" s="66"/>
    </row>
    <row r="451" spans="1:2">
      <c r="A451" s="66"/>
      <c r="B451" s="66"/>
    </row>
    <row r="452" spans="1:2">
      <c r="A452" s="66"/>
      <c r="B452" s="66"/>
    </row>
    <row r="453" spans="1:2">
      <c r="A453" s="66"/>
      <c r="B453" s="66"/>
    </row>
    <row r="454" spans="1:2">
      <c r="A454" s="66"/>
      <c r="B454" s="66"/>
    </row>
    <row r="455" spans="1:2">
      <c r="A455" s="66"/>
      <c r="B455" s="66"/>
    </row>
    <row r="456" spans="1:2">
      <c r="A456" s="66"/>
      <c r="B456" s="66"/>
    </row>
    <row r="457" spans="1:2">
      <c r="A457" s="66"/>
      <c r="B457" s="66"/>
    </row>
    <row r="458" spans="1:2">
      <c r="A458" s="66"/>
      <c r="B458" s="66"/>
    </row>
    <row r="459" spans="1:2">
      <c r="A459" s="66"/>
      <c r="B459" s="66"/>
    </row>
    <row r="460" spans="1:2">
      <c r="A460" s="66"/>
      <c r="B460" s="66"/>
    </row>
    <row r="461" spans="1:2">
      <c r="A461" s="66"/>
      <c r="B461" s="66"/>
    </row>
    <row r="462" spans="1:2">
      <c r="A462" s="66"/>
      <c r="B462" s="66"/>
    </row>
    <row r="463" spans="1:2">
      <c r="A463" s="66"/>
      <c r="B463" s="66"/>
    </row>
    <row r="464" spans="1:2">
      <c r="A464" s="66"/>
      <c r="B464" s="66"/>
    </row>
    <row r="465" spans="1:2">
      <c r="A465" s="66"/>
      <c r="B465" s="66"/>
    </row>
    <row r="466" spans="1:2">
      <c r="A466" s="66"/>
      <c r="B466" s="66"/>
    </row>
    <row r="467" spans="1:2">
      <c r="A467" s="66"/>
      <c r="B467" s="66"/>
    </row>
    <row r="468" spans="1:2">
      <c r="A468" s="66"/>
      <c r="B468" s="66"/>
    </row>
    <row r="469" spans="1:2">
      <c r="A469" s="66"/>
      <c r="B469" s="66"/>
    </row>
    <row r="470" spans="1:2">
      <c r="A470" s="66"/>
      <c r="B470" s="66"/>
    </row>
    <row r="471" spans="1:2">
      <c r="A471" s="66"/>
      <c r="B471" s="66"/>
    </row>
    <row r="472" spans="1:2">
      <c r="A472" s="66"/>
      <c r="B472" s="66"/>
    </row>
    <row r="473" spans="1:2">
      <c r="A473" s="66"/>
      <c r="B473" s="66"/>
    </row>
    <row r="474" spans="1:2">
      <c r="A474" s="66"/>
      <c r="B474" s="66"/>
    </row>
    <row r="475" spans="1:2">
      <c r="A475" s="66"/>
      <c r="B475" s="66"/>
    </row>
    <row r="476" spans="1:2">
      <c r="A476" s="66"/>
      <c r="B476" s="66"/>
    </row>
    <row r="477" spans="1:2">
      <c r="A477" s="66"/>
      <c r="B477" s="66"/>
    </row>
    <row r="478" spans="1:2">
      <c r="A478" s="66"/>
      <c r="B478" s="66"/>
    </row>
    <row r="479" spans="1:2">
      <c r="A479" s="66"/>
      <c r="B479" s="66"/>
    </row>
    <row r="480" spans="1:2">
      <c r="A480" s="66"/>
      <c r="B480" s="66"/>
    </row>
    <row r="481" spans="1:2">
      <c r="A481" s="66"/>
      <c r="B481" s="66"/>
    </row>
    <row r="482" spans="1:2">
      <c r="A482" s="66"/>
      <c r="B482" s="66"/>
    </row>
    <row r="483" spans="1:2">
      <c r="A483" s="66"/>
      <c r="B483" s="66"/>
    </row>
    <row r="484" spans="1:2">
      <c r="A484" s="66"/>
      <c r="B484" s="66"/>
    </row>
    <row r="485" spans="1:2">
      <c r="A485" s="66"/>
      <c r="B485" s="66"/>
    </row>
    <row r="486" spans="1:2">
      <c r="A486" s="66"/>
      <c r="B486" s="66"/>
    </row>
    <row r="487" spans="1:2">
      <c r="A487" s="66"/>
      <c r="B487" s="66"/>
    </row>
    <row r="488" spans="1:2">
      <c r="A488" s="66"/>
      <c r="B488" s="66"/>
    </row>
    <row r="489" spans="1:2">
      <c r="A489" s="66"/>
      <c r="B489" s="66"/>
    </row>
    <row r="490" spans="1:2">
      <c r="A490" s="66"/>
      <c r="B490" s="66"/>
    </row>
    <row r="491" spans="1:2">
      <c r="A491" s="66"/>
      <c r="B491" s="66"/>
    </row>
    <row r="492" spans="1:2">
      <c r="A492" s="66"/>
      <c r="B492" s="66"/>
    </row>
    <row r="493" spans="1:2">
      <c r="A493" s="66"/>
      <c r="B493" s="66"/>
    </row>
    <row r="494" spans="1:2">
      <c r="A494" s="66"/>
      <c r="B494" s="66"/>
    </row>
    <row r="495" spans="1:2">
      <c r="A495" s="66"/>
      <c r="B495" s="66"/>
    </row>
    <row r="496" spans="1:2">
      <c r="A496" s="66"/>
      <c r="B496" s="66"/>
    </row>
    <row r="497" spans="1:2">
      <c r="A497" s="66"/>
      <c r="B497" s="66"/>
    </row>
    <row r="498" spans="1:2">
      <c r="A498" s="66"/>
      <c r="B498" s="66"/>
    </row>
    <row r="499" spans="1:2">
      <c r="A499" s="66"/>
      <c r="B499" s="66"/>
    </row>
    <row r="500" spans="1:2">
      <c r="A500" s="66"/>
      <c r="B500" s="66"/>
    </row>
    <row r="501" spans="1:2">
      <c r="A501" s="66"/>
      <c r="B501" s="66"/>
    </row>
    <row r="502" spans="1:2">
      <c r="A502" s="66"/>
      <c r="B502" s="66"/>
    </row>
    <row r="503" spans="1:2">
      <c r="A503" s="66"/>
      <c r="B503" s="66"/>
    </row>
    <row r="504" spans="1:2">
      <c r="A504" s="66"/>
      <c r="B504" s="66"/>
    </row>
    <row r="505" spans="1:2">
      <c r="A505" s="66"/>
      <c r="B505" s="66"/>
    </row>
    <row r="506" spans="1:2">
      <c r="A506" s="66"/>
      <c r="B506" s="66"/>
    </row>
    <row r="507" spans="1:2">
      <c r="A507" s="66"/>
      <c r="B507" s="66"/>
    </row>
    <row r="508" spans="1:2">
      <c r="A508" s="66"/>
      <c r="B508" s="66"/>
    </row>
    <row r="509" spans="1:2">
      <c r="A509" s="66"/>
      <c r="B509" s="66"/>
    </row>
    <row r="510" spans="1:2">
      <c r="A510" s="66"/>
      <c r="B510" s="66"/>
    </row>
    <row r="511" spans="1:2">
      <c r="A511" s="66"/>
      <c r="B511" s="66"/>
    </row>
    <row r="512" spans="1:2">
      <c r="A512" s="66"/>
      <c r="B512" s="66"/>
    </row>
    <row r="513" spans="1:2">
      <c r="A513" s="66"/>
      <c r="B513" s="66"/>
    </row>
    <row r="514" spans="1:2">
      <c r="A514" s="66"/>
      <c r="B514" s="66"/>
    </row>
    <row r="515" spans="1:2">
      <c r="A515" s="66"/>
      <c r="B515" s="66"/>
    </row>
    <row r="516" spans="1:2">
      <c r="A516" s="66"/>
      <c r="B516" s="66"/>
    </row>
    <row r="517" spans="1:2">
      <c r="A517" s="66"/>
      <c r="B517" s="66"/>
    </row>
    <row r="518" spans="1:2">
      <c r="A518" s="66"/>
      <c r="B518" s="66"/>
    </row>
    <row r="519" spans="1:2">
      <c r="A519" s="66"/>
      <c r="B519" s="66"/>
    </row>
    <row r="520" spans="1:2">
      <c r="A520" s="66"/>
      <c r="B520" s="66"/>
    </row>
    <row r="521" spans="1:2">
      <c r="A521" s="66"/>
      <c r="B521" s="66"/>
    </row>
    <row r="522" spans="1:2">
      <c r="A522" s="66"/>
      <c r="B522" s="66"/>
    </row>
    <row r="523" spans="1:2">
      <c r="A523" s="66"/>
      <c r="B523" s="66"/>
    </row>
    <row r="524" spans="1:2">
      <c r="A524" s="66"/>
      <c r="B524" s="66"/>
    </row>
    <row r="525" spans="1:2">
      <c r="A525" s="66"/>
      <c r="B525" s="66"/>
    </row>
    <row r="526" spans="1:2">
      <c r="A526" s="66"/>
      <c r="B526" s="66"/>
    </row>
    <row r="527" spans="1:2">
      <c r="A527" s="66"/>
      <c r="B527" s="66"/>
    </row>
    <row r="528" spans="1:2">
      <c r="A528" s="66"/>
      <c r="B528" s="66"/>
    </row>
    <row r="529" spans="1:2">
      <c r="A529" s="66"/>
      <c r="B529" s="66"/>
    </row>
    <row r="530" spans="1:2">
      <c r="A530" s="66"/>
      <c r="B530" s="66"/>
    </row>
    <row r="531" spans="1:2">
      <c r="A531" s="66"/>
      <c r="B531" s="66"/>
    </row>
    <row r="532" spans="1:2">
      <c r="A532" s="66"/>
      <c r="B532" s="66"/>
    </row>
    <row r="533" spans="1:2">
      <c r="A533" s="66"/>
      <c r="B533" s="66"/>
    </row>
    <row r="534" spans="1:2">
      <c r="A534" s="66"/>
      <c r="B534" s="66"/>
    </row>
    <row r="535" spans="1:2">
      <c r="A535" s="66"/>
      <c r="B535" s="66"/>
    </row>
    <row r="536" spans="1:2">
      <c r="A536" s="66"/>
      <c r="B536" s="66"/>
    </row>
    <row r="537" spans="1:2">
      <c r="A537" s="66"/>
      <c r="B537" s="66"/>
    </row>
    <row r="538" spans="1:2">
      <c r="A538" s="66"/>
      <c r="B538" s="66"/>
    </row>
    <row r="539" spans="1:2">
      <c r="A539" s="66"/>
      <c r="B539" s="66"/>
    </row>
    <row r="540" spans="1:2">
      <c r="A540" s="66"/>
      <c r="B540" s="66"/>
    </row>
    <row r="541" spans="1:2">
      <c r="A541" s="66"/>
      <c r="B541" s="66"/>
    </row>
    <row r="542" spans="1:2">
      <c r="A542" s="66"/>
      <c r="B542" s="66"/>
    </row>
    <row r="543" spans="1:2">
      <c r="A543" s="66"/>
      <c r="B543" s="66"/>
    </row>
    <row r="544" spans="1:2">
      <c r="A544" s="66"/>
      <c r="B544" s="66"/>
    </row>
    <row r="545" spans="1:2">
      <c r="A545" s="66"/>
      <c r="B545" s="66"/>
    </row>
    <row r="546" spans="1:2">
      <c r="A546" s="66"/>
      <c r="B546" s="66"/>
    </row>
    <row r="547" spans="1:2">
      <c r="A547" s="66"/>
      <c r="B547" s="66"/>
    </row>
    <row r="548" spans="1:2">
      <c r="A548" s="66"/>
      <c r="B548" s="66"/>
    </row>
    <row r="549" spans="1:2">
      <c r="A549" s="66"/>
      <c r="B549" s="66"/>
    </row>
    <row r="550" spans="1:2">
      <c r="A550" s="66"/>
      <c r="B550" s="66"/>
    </row>
    <row r="551" spans="1:2">
      <c r="A551" s="66"/>
      <c r="B551" s="66"/>
    </row>
    <row r="552" spans="1:2">
      <c r="A552" s="66"/>
      <c r="B552" s="66"/>
    </row>
    <row r="553" spans="1:2">
      <c r="A553" s="66"/>
      <c r="B553" s="66"/>
    </row>
    <row r="554" spans="1:2">
      <c r="A554" s="66"/>
      <c r="B554" s="66"/>
    </row>
    <row r="555" spans="1:2">
      <c r="A555" s="66"/>
      <c r="B555" s="66"/>
    </row>
    <row r="556" spans="1:2">
      <c r="A556" s="66"/>
      <c r="B556" s="66"/>
    </row>
    <row r="557" spans="1:2">
      <c r="A557" s="66"/>
      <c r="B557" s="66"/>
    </row>
    <row r="558" spans="1:2">
      <c r="A558" s="66"/>
      <c r="B558" s="66"/>
    </row>
    <row r="559" spans="1:2">
      <c r="A559" s="66"/>
      <c r="B559" s="66"/>
    </row>
    <row r="560" spans="1:2">
      <c r="A560" s="66"/>
      <c r="B560" s="66"/>
    </row>
    <row r="561" spans="1:2">
      <c r="A561" s="66"/>
      <c r="B561" s="66"/>
    </row>
    <row r="562" spans="1:2">
      <c r="A562" s="66"/>
      <c r="B562" s="66"/>
    </row>
    <row r="563" spans="1:2">
      <c r="A563" s="66"/>
      <c r="B563" s="66"/>
    </row>
    <row r="564" spans="1:2">
      <c r="A564" s="66"/>
      <c r="B564" s="66"/>
    </row>
    <row r="565" spans="1:2">
      <c r="A565" s="66"/>
      <c r="B565" s="66"/>
    </row>
    <row r="566" spans="1:2">
      <c r="A566" s="66"/>
      <c r="B566" s="66"/>
    </row>
    <row r="567" spans="1:2">
      <c r="A567" s="66"/>
      <c r="B567" s="66"/>
    </row>
    <row r="568" spans="1:2">
      <c r="A568" s="66"/>
      <c r="B568" s="66"/>
    </row>
    <row r="569" spans="1:2">
      <c r="A569" s="66"/>
      <c r="B569" s="66"/>
    </row>
    <row r="570" spans="1:2">
      <c r="A570" s="66"/>
      <c r="B570" s="66"/>
    </row>
    <row r="571" spans="1:2">
      <c r="A571" s="66"/>
      <c r="B571" s="66"/>
    </row>
    <row r="572" spans="1:2">
      <c r="A572" s="66"/>
      <c r="B572" s="66"/>
    </row>
    <row r="573" spans="1:2">
      <c r="A573" s="66"/>
      <c r="B573" s="66"/>
    </row>
    <row r="574" spans="1:2">
      <c r="A574" s="66"/>
      <c r="B574" s="66"/>
    </row>
    <row r="575" spans="1:2">
      <c r="A575" s="66"/>
      <c r="B575" s="66"/>
    </row>
    <row r="576" spans="1:2">
      <c r="A576" s="66"/>
      <c r="B576" s="66"/>
    </row>
    <row r="577" spans="1:2">
      <c r="A577" s="66"/>
      <c r="B577" s="66"/>
    </row>
    <row r="578" spans="1:2">
      <c r="A578" s="66"/>
      <c r="B578" s="66"/>
    </row>
    <row r="579" spans="1:2">
      <c r="A579" s="66"/>
      <c r="B579" s="66"/>
    </row>
    <row r="580" spans="1:2">
      <c r="A580" s="66"/>
      <c r="B580" s="66"/>
    </row>
    <row r="581" spans="1:2">
      <c r="A581" s="66"/>
      <c r="B581" s="66"/>
    </row>
    <row r="582" spans="1:2">
      <c r="A582" s="66"/>
      <c r="B582" s="66"/>
    </row>
    <row r="583" spans="1:2">
      <c r="A583" s="66"/>
      <c r="B583" s="66"/>
    </row>
    <row r="584" spans="1:2">
      <c r="A584" s="66"/>
      <c r="B584" s="66"/>
    </row>
    <row r="585" spans="1:2">
      <c r="A585" s="66"/>
      <c r="B585" s="66"/>
    </row>
    <row r="586" spans="1:2">
      <c r="A586" s="66"/>
      <c r="B586" s="66"/>
    </row>
    <row r="587" spans="1:2">
      <c r="A587" s="66"/>
      <c r="B587" s="66"/>
    </row>
    <row r="588" spans="1:2">
      <c r="A588" s="66"/>
      <c r="B588" s="66"/>
    </row>
    <row r="589" spans="1:2">
      <c r="A589" s="66"/>
      <c r="B589" s="66"/>
    </row>
    <row r="590" spans="1:2">
      <c r="A590" s="66"/>
      <c r="B590" s="66"/>
    </row>
    <row r="591" spans="1:2">
      <c r="A591" s="66"/>
      <c r="B591" s="66"/>
    </row>
    <row r="592" spans="1:2">
      <c r="A592" s="66"/>
      <c r="B592" s="66"/>
    </row>
    <row r="593" spans="1:2">
      <c r="A593" s="66"/>
      <c r="B593" s="66"/>
    </row>
    <row r="594" spans="1:2">
      <c r="A594" s="66"/>
      <c r="B594" s="66"/>
    </row>
    <row r="595" spans="1:2">
      <c r="A595" s="66"/>
      <c r="B595" s="66"/>
    </row>
    <row r="596" spans="1:2">
      <c r="A596" s="66"/>
      <c r="B596" s="66"/>
    </row>
    <row r="597" spans="1:2">
      <c r="A597" s="66"/>
      <c r="B597" s="66"/>
    </row>
    <row r="598" spans="1:2">
      <c r="A598" s="66"/>
      <c r="B598" s="66"/>
    </row>
    <row r="599" spans="1:2">
      <c r="A599" s="66"/>
      <c r="B599" s="66"/>
    </row>
    <row r="600" spans="1:2">
      <c r="A600" s="66"/>
      <c r="B600" s="66"/>
    </row>
    <row r="601" spans="1:2">
      <c r="A601" s="66"/>
      <c r="B601" s="66"/>
    </row>
    <row r="602" spans="1:2">
      <c r="A602" s="66"/>
      <c r="B602" s="66"/>
    </row>
    <row r="603" spans="1:2">
      <c r="A603" s="66"/>
      <c r="B603" s="66"/>
    </row>
    <row r="604" spans="1:2">
      <c r="A604" s="66"/>
      <c r="B604" s="66"/>
    </row>
    <row r="605" spans="1:2">
      <c r="A605" s="66"/>
      <c r="B605" s="66"/>
    </row>
    <row r="606" spans="1:2">
      <c r="A606" s="66"/>
      <c r="B606" s="66"/>
    </row>
    <row r="607" spans="1:2">
      <c r="A607" s="66"/>
      <c r="B607" s="66"/>
    </row>
    <row r="608" spans="1:2">
      <c r="A608" s="66"/>
      <c r="B608" s="66"/>
    </row>
    <row r="609" spans="1:2">
      <c r="A609" s="66"/>
      <c r="B609" s="66"/>
    </row>
    <row r="610" spans="1:2">
      <c r="A610" s="66"/>
      <c r="B610" s="66"/>
    </row>
    <row r="611" spans="1:2">
      <c r="A611" s="66"/>
      <c r="B611" s="66"/>
    </row>
    <row r="612" spans="1:2">
      <c r="A612" s="66"/>
      <c r="B612" s="66"/>
    </row>
    <row r="613" spans="1:2">
      <c r="A613" s="66"/>
      <c r="B613" s="66"/>
    </row>
    <row r="614" spans="1:2">
      <c r="A614" s="66"/>
      <c r="B614" s="66"/>
    </row>
    <row r="615" spans="1:2">
      <c r="A615" s="66"/>
      <c r="B615" s="66"/>
    </row>
    <row r="616" spans="1:2">
      <c r="A616" s="66"/>
      <c r="B616" s="66"/>
    </row>
    <row r="617" spans="1:2">
      <c r="A617" s="66"/>
      <c r="B617" s="66"/>
    </row>
    <row r="618" spans="1:2">
      <c r="A618" s="66"/>
      <c r="B618" s="66"/>
    </row>
    <row r="619" spans="1:2">
      <c r="A619" s="66"/>
      <c r="B619" s="66"/>
    </row>
    <row r="620" spans="1:2">
      <c r="A620" s="66"/>
      <c r="B620" s="66"/>
    </row>
    <row r="621" spans="1:2">
      <c r="A621" s="66"/>
      <c r="B621" s="66"/>
    </row>
    <row r="622" spans="1:2">
      <c r="A622" s="66"/>
      <c r="B622" s="66"/>
    </row>
    <row r="623" spans="1:2">
      <c r="A623" s="66"/>
      <c r="B623" s="66"/>
    </row>
    <row r="624" spans="1:2">
      <c r="A624" s="66"/>
      <c r="B624" s="66"/>
    </row>
    <row r="625" spans="1:2">
      <c r="A625" s="66"/>
      <c r="B625" s="66"/>
    </row>
    <row r="626" spans="1:2">
      <c r="A626" s="66"/>
      <c r="B626" s="66"/>
    </row>
    <row r="627" spans="1:2">
      <c r="A627" s="66"/>
      <c r="B627" s="66"/>
    </row>
    <row r="628" spans="1:2">
      <c r="A628" s="66"/>
      <c r="B628" s="66"/>
    </row>
    <row r="629" spans="1:2">
      <c r="A629" s="66"/>
      <c r="B629" s="66"/>
    </row>
    <row r="630" spans="1:2">
      <c r="A630" s="66"/>
      <c r="B630" s="66"/>
    </row>
    <row r="631" spans="1:2">
      <c r="A631" s="66"/>
      <c r="B631" s="66"/>
    </row>
    <row r="632" spans="1:2">
      <c r="A632" s="66"/>
      <c r="B632" s="66"/>
    </row>
    <row r="633" spans="1:2">
      <c r="A633" s="66"/>
      <c r="B633" s="66"/>
    </row>
    <row r="634" spans="1:2">
      <c r="A634" s="66"/>
      <c r="B634" s="66"/>
    </row>
    <row r="635" spans="1:2">
      <c r="A635" s="66"/>
      <c r="B635" s="66"/>
    </row>
    <row r="636" spans="1:2">
      <c r="A636" s="66"/>
      <c r="B636" s="66"/>
    </row>
    <row r="637" spans="1:2">
      <c r="A637" s="66"/>
      <c r="B637" s="66"/>
    </row>
    <row r="638" spans="1:2">
      <c r="A638" s="66"/>
      <c r="B638" s="66"/>
    </row>
    <row r="639" spans="1:2">
      <c r="A639" s="66"/>
      <c r="B639" s="66"/>
    </row>
    <row r="640" spans="1:2">
      <c r="A640" s="66"/>
      <c r="B640" s="66"/>
    </row>
    <row r="641" spans="1:2">
      <c r="A641" s="66"/>
      <c r="B641" s="66"/>
    </row>
    <row r="642" spans="1:2">
      <c r="A642" s="66"/>
      <c r="B642" s="66"/>
    </row>
    <row r="643" spans="1:2">
      <c r="A643" s="66"/>
      <c r="B643" s="66"/>
    </row>
    <row r="644" spans="1:2">
      <c r="A644" s="66"/>
      <c r="B644" s="66"/>
    </row>
    <row r="645" spans="1:2">
      <c r="A645" s="66"/>
      <c r="B645" s="66"/>
    </row>
    <row r="646" spans="1:2">
      <c r="A646" s="66"/>
      <c r="B646" s="66"/>
    </row>
    <row r="647" spans="1:2">
      <c r="A647" s="66"/>
      <c r="B647" s="66"/>
    </row>
    <row r="648" spans="1:2">
      <c r="A648" s="66"/>
      <c r="B648" s="66"/>
    </row>
    <row r="649" spans="1:2">
      <c r="A649" s="66"/>
      <c r="B649" s="66"/>
    </row>
    <row r="650" spans="1:2">
      <c r="A650" s="66"/>
      <c r="B650" s="66"/>
    </row>
    <row r="651" spans="1:2">
      <c r="A651" s="66"/>
      <c r="B651" s="66"/>
    </row>
    <row r="652" spans="1:2">
      <c r="A652" s="66"/>
      <c r="B652" s="66"/>
    </row>
    <row r="653" spans="1:2">
      <c r="A653" s="66"/>
      <c r="B653" s="66"/>
    </row>
    <row r="654" spans="1:2">
      <c r="A654" s="66"/>
      <c r="B654" s="66"/>
    </row>
    <row r="655" spans="1:2">
      <c r="A655" s="66"/>
      <c r="B655" s="66"/>
    </row>
    <row r="656" spans="1:2">
      <c r="A656" s="66"/>
      <c r="B656" s="66"/>
    </row>
    <row r="657" spans="1:2">
      <c r="A657" s="66"/>
      <c r="B657" s="66"/>
    </row>
    <row r="658" spans="1:2">
      <c r="A658" s="66"/>
      <c r="B658" s="66"/>
    </row>
    <row r="659" spans="1:2">
      <c r="A659" s="66"/>
      <c r="B659" s="66"/>
    </row>
    <row r="660" spans="1:2">
      <c r="A660" s="66"/>
      <c r="B660" s="66"/>
    </row>
    <row r="661" spans="1:2">
      <c r="A661" s="66"/>
      <c r="B661" s="66"/>
    </row>
    <row r="662" spans="1:2">
      <c r="A662" s="66"/>
      <c r="B662" s="66"/>
    </row>
    <row r="663" spans="1:2">
      <c r="A663" s="66"/>
      <c r="B663" s="66"/>
    </row>
    <row r="664" spans="1:2">
      <c r="A664" s="66"/>
      <c r="B664" s="66"/>
    </row>
    <row r="665" spans="1:2">
      <c r="A665" s="66"/>
      <c r="B665" s="66"/>
    </row>
    <row r="666" spans="1:2">
      <c r="A666" s="66"/>
      <c r="B666" s="66"/>
    </row>
    <row r="667" spans="1:2">
      <c r="A667" s="66"/>
      <c r="B667" s="66"/>
    </row>
    <row r="668" spans="1:2">
      <c r="A668" s="66"/>
      <c r="B668" s="66"/>
    </row>
    <row r="669" spans="1:2">
      <c r="A669" s="66"/>
      <c r="B669" s="66"/>
    </row>
    <row r="670" spans="1:2">
      <c r="A670" s="66"/>
      <c r="B670" s="66"/>
    </row>
    <row r="671" spans="1:2">
      <c r="A671" s="66"/>
      <c r="B671" s="66"/>
    </row>
    <row r="672" spans="1:2">
      <c r="A672" s="66"/>
      <c r="B672" s="66"/>
    </row>
    <row r="673" spans="1:2">
      <c r="A673" s="66"/>
      <c r="B673" s="66"/>
    </row>
    <row r="674" spans="1:2">
      <c r="A674" s="66"/>
      <c r="B674" s="66"/>
    </row>
    <row r="675" spans="1:2">
      <c r="A675" s="66"/>
      <c r="B675" s="66"/>
    </row>
    <row r="676" spans="1:2">
      <c r="A676" s="66"/>
      <c r="B676" s="66"/>
    </row>
    <row r="677" spans="1:2">
      <c r="A677" s="66"/>
      <c r="B677" s="66"/>
    </row>
    <row r="678" spans="1:2">
      <c r="A678" s="66"/>
      <c r="B678" s="66"/>
    </row>
    <row r="679" spans="1:2">
      <c r="A679" s="66"/>
      <c r="B679" s="66"/>
    </row>
    <row r="680" spans="1:2">
      <c r="A680" s="66"/>
      <c r="B680" s="66"/>
    </row>
    <row r="681" spans="1:2">
      <c r="A681" s="66"/>
      <c r="B681" s="66"/>
    </row>
    <row r="682" spans="1:2">
      <c r="A682" s="66"/>
      <c r="B682" s="66"/>
    </row>
    <row r="683" spans="1:2">
      <c r="A683" s="66"/>
      <c r="B683" s="66"/>
    </row>
    <row r="684" spans="1:2">
      <c r="A684" s="66"/>
      <c r="B684" s="66"/>
    </row>
    <row r="685" spans="1:2">
      <c r="A685" s="66"/>
      <c r="B685" s="66"/>
    </row>
    <row r="686" spans="1:2">
      <c r="A686" s="66"/>
      <c r="B686" s="66"/>
    </row>
    <row r="687" spans="1:2">
      <c r="A687" s="66"/>
      <c r="B687" s="66"/>
    </row>
    <row r="688" spans="1:2">
      <c r="A688" s="66"/>
      <c r="B688" s="66"/>
    </row>
    <row r="689" spans="1:2">
      <c r="A689" s="66"/>
      <c r="B689" s="66"/>
    </row>
    <row r="690" spans="1:2">
      <c r="A690" s="66"/>
      <c r="B690" s="66"/>
    </row>
    <row r="691" spans="1:2">
      <c r="A691" s="66"/>
      <c r="B691" s="66"/>
    </row>
    <row r="692" spans="1:2">
      <c r="A692" s="66"/>
      <c r="B692" s="66"/>
    </row>
    <row r="693" spans="1:2">
      <c r="A693" s="66"/>
      <c r="B693" s="66"/>
    </row>
    <row r="694" spans="1:2">
      <c r="A694" s="66"/>
      <c r="B694" s="66"/>
    </row>
    <row r="695" spans="1:2">
      <c r="A695" s="66"/>
      <c r="B695" s="66"/>
    </row>
    <row r="696" spans="1:2">
      <c r="A696" s="66"/>
      <c r="B696" s="66"/>
    </row>
    <row r="697" spans="1:2">
      <c r="A697" s="66"/>
      <c r="B697" s="66"/>
    </row>
    <row r="698" spans="1:2">
      <c r="A698" s="66"/>
      <c r="B698" s="66"/>
    </row>
    <row r="699" spans="1:2">
      <c r="A699" s="66"/>
      <c r="B699" s="66"/>
    </row>
    <row r="700" spans="1:2">
      <c r="A700" s="66"/>
      <c r="B700" s="66"/>
    </row>
    <row r="701" spans="1:2">
      <c r="A701" s="66"/>
      <c r="B701" s="66"/>
    </row>
    <row r="702" spans="1:2">
      <c r="A702" s="66"/>
      <c r="B702" s="66"/>
    </row>
    <row r="703" spans="1:2">
      <c r="A703" s="66"/>
      <c r="B703" s="66"/>
    </row>
    <row r="704" spans="1:2">
      <c r="A704" s="66"/>
      <c r="B704" s="66"/>
    </row>
    <row r="705" spans="1:2">
      <c r="A705" s="66"/>
      <c r="B705" s="66"/>
    </row>
    <row r="706" spans="1:2">
      <c r="A706" s="66"/>
      <c r="B706" s="66"/>
    </row>
    <row r="707" spans="1:2">
      <c r="A707" s="66"/>
      <c r="B707" s="66"/>
    </row>
    <row r="708" spans="1:2">
      <c r="A708" s="66"/>
      <c r="B708" s="66"/>
    </row>
    <row r="709" spans="1:2">
      <c r="A709" s="66"/>
      <c r="B709" s="66"/>
    </row>
    <row r="710" spans="1:2">
      <c r="A710" s="66"/>
      <c r="B710" s="66"/>
    </row>
    <row r="711" spans="1:2">
      <c r="A711" s="66"/>
      <c r="B711" s="66"/>
    </row>
    <row r="712" spans="1:2">
      <c r="A712" s="66"/>
      <c r="B712" s="66"/>
    </row>
    <row r="713" spans="1:2">
      <c r="A713" s="66"/>
      <c r="B713" s="66"/>
    </row>
    <row r="714" spans="1:2">
      <c r="A714" s="66"/>
      <c r="B714" s="66"/>
    </row>
    <row r="715" spans="1:2">
      <c r="A715" s="66"/>
      <c r="B715" s="66"/>
    </row>
    <row r="716" spans="1:2">
      <c r="A716" s="66"/>
      <c r="B716" s="66"/>
    </row>
    <row r="717" spans="1:2">
      <c r="A717" s="66"/>
      <c r="B717" s="66"/>
    </row>
    <row r="718" spans="1:2">
      <c r="A718" s="66"/>
      <c r="B718" s="66"/>
    </row>
    <row r="719" spans="1:2">
      <c r="A719" s="66"/>
      <c r="B719" s="66"/>
    </row>
    <row r="720" spans="1:2">
      <c r="A720" s="66"/>
      <c r="B720" s="66"/>
    </row>
    <row r="721" spans="1:2">
      <c r="A721" s="66"/>
      <c r="B721" s="66"/>
    </row>
    <row r="722" spans="1:2">
      <c r="A722" s="66"/>
      <c r="B722" s="66"/>
    </row>
    <row r="723" spans="1:2">
      <c r="A723" s="66"/>
      <c r="B723" s="66"/>
    </row>
    <row r="724" spans="1:2">
      <c r="A724" s="66"/>
      <c r="B724" s="66"/>
    </row>
    <row r="725" spans="1:2">
      <c r="A725" s="66"/>
      <c r="B725" s="66"/>
    </row>
    <row r="726" spans="1:2">
      <c r="A726" s="66"/>
      <c r="B726" s="66"/>
    </row>
    <row r="727" spans="1:2">
      <c r="A727" s="66"/>
      <c r="B727" s="66"/>
    </row>
    <row r="728" spans="1:2">
      <c r="A728" s="66"/>
      <c r="B728" s="66"/>
    </row>
    <row r="729" spans="1:2">
      <c r="A729" s="66"/>
      <c r="B729" s="66"/>
    </row>
    <row r="730" spans="1:2">
      <c r="A730" s="66"/>
      <c r="B730" s="66"/>
    </row>
    <row r="731" spans="1:2">
      <c r="A731" s="66"/>
      <c r="B731" s="66"/>
    </row>
    <row r="732" spans="1:2">
      <c r="A732" s="66"/>
      <c r="B732" s="66"/>
    </row>
    <row r="733" spans="1:2">
      <c r="A733" s="66"/>
      <c r="B733" s="66"/>
    </row>
    <row r="734" spans="1:2">
      <c r="A734" s="66"/>
      <c r="B734" s="66"/>
    </row>
    <row r="735" spans="1:2">
      <c r="A735" s="66"/>
      <c r="B735" s="66"/>
    </row>
    <row r="736" spans="1:2">
      <c r="A736" s="66"/>
      <c r="B736" s="66"/>
    </row>
    <row r="737" spans="1:2">
      <c r="A737" s="66"/>
      <c r="B737" s="66"/>
    </row>
    <row r="738" spans="1:2">
      <c r="A738" s="66"/>
      <c r="B738" s="66"/>
    </row>
    <row r="739" spans="1:2">
      <c r="A739" s="66"/>
      <c r="B739" s="66"/>
    </row>
    <row r="740" spans="1:2">
      <c r="A740" s="66"/>
      <c r="B740" s="66"/>
    </row>
    <row r="741" spans="1:2">
      <c r="A741" s="66"/>
      <c r="B741" s="66"/>
    </row>
    <row r="742" spans="1:2">
      <c r="A742" s="66"/>
      <c r="B742" s="66"/>
    </row>
    <row r="743" spans="1:2">
      <c r="A743" s="66"/>
      <c r="B743" s="66"/>
    </row>
    <row r="744" spans="1:2">
      <c r="A744" s="66"/>
      <c r="B744" s="66"/>
    </row>
    <row r="745" spans="1:2">
      <c r="A745" s="66"/>
      <c r="B745" s="66"/>
    </row>
    <row r="746" spans="1:2">
      <c r="A746" s="66"/>
      <c r="B746" s="66"/>
    </row>
    <row r="747" spans="1:2">
      <c r="A747" s="66"/>
      <c r="B747" s="66"/>
    </row>
    <row r="748" spans="1:2">
      <c r="A748" s="66"/>
      <c r="B748" s="66"/>
    </row>
    <row r="749" spans="1:2">
      <c r="A749" s="66"/>
      <c r="B749" s="66"/>
    </row>
    <row r="750" spans="1:2">
      <c r="A750" s="66"/>
      <c r="B750" s="66"/>
    </row>
    <row r="751" spans="1:2">
      <c r="A751" s="66"/>
      <c r="B751" s="66"/>
    </row>
    <row r="752" spans="1:2">
      <c r="A752" s="66"/>
      <c r="B752" s="66"/>
    </row>
    <row r="753" spans="1:2">
      <c r="A753" s="66"/>
      <c r="B753" s="66"/>
    </row>
    <row r="754" spans="1:2">
      <c r="A754" s="66"/>
      <c r="B754" s="66"/>
    </row>
    <row r="755" spans="1:2">
      <c r="A755" s="66"/>
      <c r="B755" s="66"/>
    </row>
    <row r="756" spans="1:2">
      <c r="A756" s="66"/>
      <c r="B756" s="66"/>
    </row>
    <row r="757" spans="1:2">
      <c r="A757" s="66"/>
      <c r="B757" s="66"/>
    </row>
    <row r="758" spans="1:2">
      <c r="A758" s="66"/>
      <c r="B758" s="66"/>
    </row>
    <row r="759" spans="1:2">
      <c r="A759" s="66"/>
      <c r="B759" s="66"/>
    </row>
    <row r="760" spans="1:2">
      <c r="A760" s="66"/>
      <c r="B760" s="66"/>
    </row>
    <row r="761" spans="1:2">
      <c r="A761" s="66"/>
      <c r="B761" s="66"/>
    </row>
    <row r="762" spans="1:2">
      <c r="A762" s="66"/>
      <c r="B762" s="66"/>
    </row>
    <row r="763" spans="1:2">
      <c r="A763" s="66"/>
      <c r="B763" s="66"/>
    </row>
    <row r="764" spans="1:2">
      <c r="A764" s="66"/>
      <c r="B764" s="66"/>
    </row>
    <row r="765" spans="1:2">
      <c r="A765" s="66"/>
      <c r="B765" s="66"/>
    </row>
    <row r="766" spans="1:2">
      <c r="A766" s="66"/>
      <c r="B766" s="66"/>
    </row>
    <row r="767" spans="1:2">
      <c r="A767" s="66"/>
      <c r="B767" s="66"/>
    </row>
    <row r="768" spans="1:2">
      <c r="A768" s="66"/>
      <c r="B768" s="66"/>
    </row>
    <row r="769" spans="1:2">
      <c r="A769" s="66"/>
      <c r="B769" s="66"/>
    </row>
    <row r="770" spans="1:2">
      <c r="A770" s="66"/>
      <c r="B770" s="66"/>
    </row>
    <row r="771" spans="1:2">
      <c r="A771" s="66"/>
      <c r="B771" s="66"/>
    </row>
    <row r="772" spans="1:2">
      <c r="A772" s="66"/>
      <c r="B772" s="66"/>
    </row>
    <row r="773" spans="1:2">
      <c r="A773" s="66"/>
      <c r="B773" s="66"/>
    </row>
    <row r="774" spans="1:2">
      <c r="A774" s="66"/>
      <c r="B774" s="66"/>
    </row>
    <row r="775" spans="1:2">
      <c r="A775" s="66"/>
      <c r="B775" s="66"/>
    </row>
    <row r="776" spans="1:2">
      <c r="A776" s="66"/>
      <c r="B776" s="66"/>
    </row>
    <row r="777" spans="1:2">
      <c r="A777" s="66"/>
      <c r="B777" s="66"/>
    </row>
    <row r="778" spans="1:2">
      <c r="A778" s="66"/>
      <c r="B778" s="66"/>
    </row>
    <row r="779" spans="1:2">
      <c r="A779" s="66"/>
      <c r="B779" s="66"/>
    </row>
    <row r="780" spans="1:2">
      <c r="A780" s="66"/>
      <c r="B780" s="66"/>
    </row>
    <row r="781" spans="1:2">
      <c r="A781" s="66"/>
      <c r="B781" s="66"/>
    </row>
    <row r="782" spans="1:2">
      <c r="A782" s="66"/>
      <c r="B782" s="66"/>
    </row>
    <row r="783" spans="1:2">
      <c r="A783" s="66"/>
      <c r="B783" s="66"/>
    </row>
    <row r="784" spans="1:2">
      <c r="A784" s="66"/>
      <c r="B784" s="66"/>
    </row>
    <row r="785" spans="1:2">
      <c r="A785" s="66"/>
      <c r="B785" s="66"/>
    </row>
    <row r="786" spans="1:2">
      <c r="A786" s="66"/>
      <c r="B786" s="66"/>
    </row>
    <row r="787" spans="1:2">
      <c r="A787" s="66"/>
      <c r="B787" s="66"/>
    </row>
    <row r="788" spans="1:2">
      <c r="A788" s="66"/>
      <c r="B788" s="66"/>
    </row>
    <row r="789" spans="1:2">
      <c r="A789" s="66"/>
      <c r="B789" s="66"/>
    </row>
    <row r="790" spans="1:2">
      <c r="A790" s="66"/>
      <c r="B790" s="66"/>
    </row>
    <row r="791" spans="1:2">
      <c r="A791" s="66"/>
      <c r="B791" s="66"/>
    </row>
    <row r="792" spans="1:2">
      <c r="A792" s="66"/>
      <c r="B792" s="66"/>
    </row>
    <row r="793" spans="1:2">
      <c r="A793" s="66"/>
      <c r="B793" s="66"/>
    </row>
    <row r="794" spans="1:2">
      <c r="A794" s="66"/>
      <c r="B794" s="66"/>
    </row>
    <row r="795" spans="1:2">
      <c r="A795" s="66"/>
      <c r="B795" s="66"/>
    </row>
    <row r="796" spans="1:2">
      <c r="A796" s="66"/>
      <c r="B796" s="66"/>
    </row>
    <row r="797" spans="1:2">
      <c r="A797" s="66"/>
      <c r="B797" s="66"/>
    </row>
    <row r="798" spans="1:2">
      <c r="A798" s="66"/>
      <c r="B798" s="66"/>
    </row>
    <row r="799" spans="1:2">
      <c r="A799" s="66"/>
      <c r="B799" s="66"/>
    </row>
    <row r="800" spans="1:2">
      <c r="A800" s="66"/>
      <c r="B800" s="66"/>
    </row>
    <row r="801" spans="1:2">
      <c r="A801" s="66"/>
      <c r="B801" s="66"/>
    </row>
    <row r="802" spans="1:2">
      <c r="A802" s="66"/>
      <c r="B802" s="66"/>
    </row>
    <row r="803" spans="1:2">
      <c r="A803" s="66"/>
      <c r="B803" s="66"/>
    </row>
    <row r="804" spans="1:2">
      <c r="A804" s="66"/>
      <c r="B804" s="66"/>
    </row>
    <row r="805" spans="1:2">
      <c r="A805" s="66"/>
      <c r="B805" s="66"/>
    </row>
    <row r="806" spans="1:2">
      <c r="A806" s="66"/>
      <c r="B806" s="66"/>
    </row>
    <row r="807" spans="1:2">
      <c r="A807" s="66"/>
      <c r="B807" s="66"/>
    </row>
    <row r="808" spans="1:2">
      <c r="A808" s="66"/>
      <c r="B808" s="66"/>
    </row>
    <row r="809" spans="1:2">
      <c r="A809" s="66"/>
      <c r="B809" s="66"/>
    </row>
    <row r="810" spans="1:2">
      <c r="A810" s="66"/>
      <c r="B810" s="66"/>
    </row>
    <row r="811" spans="1:2">
      <c r="A811" s="66"/>
      <c r="B811" s="66"/>
    </row>
    <row r="812" spans="1:2">
      <c r="A812" s="66"/>
      <c r="B812" s="66"/>
    </row>
    <row r="813" spans="1:2">
      <c r="A813" s="66"/>
      <c r="B813" s="66"/>
    </row>
    <row r="814" spans="1:2">
      <c r="A814" s="66"/>
      <c r="B814" s="66"/>
    </row>
    <row r="815" spans="1:2">
      <c r="A815" s="66"/>
      <c r="B815" s="66"/>
    </row>
    <row r="816" spans="1:2">
      <c r="A816" s="66"/>
      <c r="B816" s="66"/>
    </row>
    <row r="817" spans="1:2">
      <c r="A817" s="66"/>
      <c r="B817" s="66"/>
    </row>
    <row r="818" spans="1:2">
      <c r="A818" s="66"/>
      <c r="B818" s="66"/>
    </row>
    <row r="819" spans="1:2">
      <c r="A819" s="66"/>
      <c r="B819" s="66"/>
    </row>
    <row r="820" spans="1:2">
      <c r="A820" s="66"/>
      <c r="B820" s="66"/>
    </row>
    <row r="821" spans="1:2">
      <c r="A821" s="66"/>
      <c r="B821" s="66"/>
    </row>
    <row r="822" spans="1:2">
      <c r="A822" s="66"/>
      <c r="B822" s="66"/>
    </row>
    <row r="823" spans="1:2">
      <c r="A823" s="66"/>
      <c r="B823" s="66"/>
    </row>
    <row r="824" spans="1:2">
      <c r="A824" s="66"/>
      <c r="B824" s="66"/>
    </row>
    <row r="825" spans="1:2">
      <c r="A825" s="66"/>
      <c r="B825" s="66"/>
    </row>
    <row r="826" spans="1:2">
      <c r="A826" s="66"/>
      <c r="B826" s="66"/>
    </row>
    <row r="827" spans="1:2">
      <c r="A827" s="66"/>
      <c r="B827" s="66"/>
    </row>
    <row r="828" spans="1:2">
      <c r="A828" s="66"/>
      <c r="B828" s="66"/>
    </row>
    <row r="829" spans="1:2">
      <c r="A829" s="66"/>
      <c r="B829" s="66"/>
    </row>
    <row r="830" spans="1:2">
      <c r="A830" s="66"/>
      <c r="B830" s="66"/>
    </row>
    <row r="831" spans="1:2">
      <c r="A831" s="66"/>
      <c r="B831" s="66"/>
    </row>
    <row r="832" spans="1:2">
      <c r="A832" s="66"/>
      <c r="B832" s="66"/>
    </row>
    <row r="833" spans="1:2">
      <c r="A833" s="66"/>
      <c r="B833" s="66"/>
    </row>
    <row r="834" spans="1:2">
      <c r="A834" s="66"/>
      <c r="B834" s="66"/>
    </row>
    <row r="835" spans="1:2">
      <c r="A835" s="66"/>
      <c r="B835" s="66"/>
    </row>
    <row r="836" spans="1:2">
      <c r="A836" s="66"/>
      <c r="B836" s="66"/>
    </row>
    <row r="837" spans="1:2">
      <c r="A837" s="66"/>
      <c r="B837" s="66"/>
    </row>
    <row r="838" spans="1:2">
      <c r="A838" s="66"/>
      <c r="B838" s="66"/>
    </row>
    <row r="839" spans="1:2">
      <c r="A839" s="66"/>
      <c r="B839" s="66"/>
    </row>
    <row r="840" spans="1:2">
      <c r="A840" s="66"/>
      <c r="B840" s="66"/>
    </row>
    <row r="841" spans="1:2">
      <c r="A841" s="66"/>
      <c r="B841" s="66"/>
    </row>
    <row r="842" spans="1:2">
      <c r="A842" s="66"/>
      <c r="B842" s="66"/>
    </row>
    <row r="843" spans="1:2">
      <c r="A843" s="66"/>
      <c r="B843" s="66"/>
    </row>
    <row r="844" spans="1:2">
      <c r="A844" s="66"/>
      <c r="B844" s="66"/>
    </row>
    <row r="845" spans="1:2">
      <c r="A845" s="66"/>
      <c r="B845" s="66"/>
    </row>
    <row r="846" spans="1:2">
      <c r="A846" s="66"/>
      <c r="B846" s="66"/>
    </row>
    <row r="847" spans="1:2">
      <c r="A847" s="66"/>
      <c r="B847" s="66"/>
    </row>
    <row r="848" spans="1:2">
      <c r="A848" s="66"/>
      <c r="B848" s="66"/>
    </row>
    <row r="849" spans="1:2">
      <c r="A849" s="66"/>
      <c r="B849" s="66"/>
    </row>
    <row r="850" spans="1:2">
      <c r="A850" s="66"/>
      <c r="B850" s="66"/>
    </row>
    <row r="851" spans="1:2">
      <c r="A851" s="66"/>
      <c r="B851" s="66"/>
    </row>
    <row r="852" spans="1:2">
      <c r="A852" s="66"/>
      <c r="B852" s="66"/>
    </row>
    <row r="853" spans="1:2">
      <c r="A853" s="66"/>
      <c r="B853" s="66"/>
    </row>
    <row r="854" spans="1:2">
      <c r="A854" s="66"/>
      <c r="B854" s="66"/>
    </row>
    <row r="855" spans="1:2">
      <c r="A855" s="66"/>
      <c r="B855" s="66"/>
    </row>
    <row r="856" spans="1:2">
      <c r="A856" s="66"/>
      <c r="B856" s="66"/>
    </row>
    <row r="857" spans="1:2">
      <c r="A857" s="66"/>
      <c r="B857" s="66"/>
    </row>
    <row r="858" spans="1:2">
      <c r="A858" s="66"/>
      <c r="B858" s="66"/>
    </row>
    <row r="859" spans="1:2">
      <c r="A859" s="66"/>
      <c r="B859" s="66"/>
    </row>
    <row r="860" spans="1:2">
      <c r="A860" s="66"/>
      <c r="B860" s="66"/>
    </row>
    <row r="861" spans="1:2">
      <c r="A861" s="66"/>
      <c r="B861" s="66"/>
    </row>
    <row r="862" spans="1:2">
      <c r="A862" s="66"/>
      <c r="B862" s="66"/>
    </row>
    <row r="863" spans="1:2">
      <c r="A863" s="66"/>
      <c r="B863" s="66"/>
    </row>
    <row r="864" spans="1:2">
      <c r="A864" s="66"/>
      <c r="B864" s="66"/>
    </row>
    <row r="865" spans="1:2">
      <c r="A865" s="66"/>
      <c r="B865" s="66"/>
    </row>
    <row r="866" spans="1:2">
      <c r="A866" s="66"/>
      <c r="B866" s="66"/>
    </row>
    <row r="867" spans="1:2">
      <c r="A867" s="66"/>
      <c r="B867" s="66"/>
    </row>
    <row r="868" spans="1:2">
      <c r="A868" s="66"/>
      <c r="B868" s="66"/>
    </row>
    <row r="869" spans="1:2">
      <c r="A869" s="66"/>
      <c r="B869" s="66"/>
    </row>
    <row r="870" spans="1:2">
      <c r="A870" s="66"/>
      <c r="B870" s="66"/>
    </row>
    <row r="871" spans="1:2">
      <c r="A871" s="66"/>
      <c r="B871" s="66"/>
    </row>
    <row r="872" spans="1:2">
      <c r="A872" s="66"/>
      <c r="B872" s="66"/>
    </row>
    <row r="873" spans="1:2">
      <c r="A873" s="66"/>
      <c r="B873" s="66"/>
    </row>
    <row r="874" spans="1:2">
      <c r="A874" s="66"/>
      <c r="B874" s="66"/>
    </row>
    <row r="875" spans="1:2">
      <c r="A875" s="66"/>
      <c r="B875" s="66"/>
    </row>
    <row r="876" spans="1:2">
      <c r="A876" s="66"/>
      <c r="B876" s="66"/>
    </row>
    <row r="877" spans="1:2">
      <c r="A877" s="66"/>
      <c r="B877" s="66"/>
    </row>
    <row r="878" spans="1:2">
      <c r="A878" s="66"/>
      <c r="B878" s="66"/>
    </row>
    <row r="879" spans="1:2">
      <c r="A879" s="66"/>
      <c r="B879" s="66"/>
    </row>
    <row r="880" spans="1:2">
      <c r="A880" s="66"/>
      <c r="B880" s="66"/>
    </row>
    <row r="881" spans="1:2">
      <c r="A881" s="66"/>
      <c r="B881" s="66"/>
    </row>
    <row r="882" spans="1:2">
      <c r="A882" s="66"/>
      <c r="B882" s="66"/>
    </row>
    <row r="883" spans="1:2">
      <c r="A883" s="66"/>
      <c r="B883" s="66"/>
    </row>
    <row r="884" spans="1:2">
      <c r="A884" s="66"/>
      <c r="B884" s="66"/>
    </row>
    <row r="885" spans="1:2">
      <c r="A885" s="66"/>
      <c r="B885" s="66"/>
    </row>
    <row r="886" spans="1:2">
      <c r="A886" s="66"/>
      <c r="B886" s="66"/>
    </row>
    <row r="887" spans="1:2">
      <c r="A887" s="66"/>
      <c r="B887" s="66"/>
    </row>
    <row r="888" spans="1:2">
      <c r="A888" s="66"/>
      <c r="B888" s="66"/>
    </row>
    <row r="889" spans="1:2">
      <c r="A889" s="66"/>
      <c r="B889" s="66"/>
    </row>
    <row r="890" spans="1:2">
      <c r="A890" s="66"/>
      <c r="B890" s="66"/>
    </row>
    <row r="891" spans="1:2">
      <c r="A891" s="66"/>
      <c r="B891" s="66"/>
    </row>
    <row r="892" spans="1:2">
      <c r="A892" s="66"/>
      <c r="B892" s="66"/>
    </row>
    <row r="893" spans="1:2">
      <c r="A893" s="66"/>
      <c r="B893" s="66"/>
    </row>
    <row r="894" spans="1:2">
      <c r="A894" s="66"/>
      <c r="B894" s="66"/>
    </row>
    <row r="895" spans="1:2">
      <c r="A895" s="66"/>
      <c r="B895" s="66"/>
    </row>
    <row r="896" spans="1:2">
      <c r="A896" s="66"/>
      <c r="B896" s="66"/>
    </row>
    <row r="897" spans="1:2">
      <c r="A897" s="66"/>
      <c r="B897" s="66"/>
    </row>
    <row r="898" spans="1:2">
      <c r="A898" s="66"/>
      <c r="B898" s="66"/>
    </row>
    <row r="899" spans="1:2">
      <c r="A899" s="66"/>
      <c r="B899" s="66"/>
    </row>
    <row r="900" spans="1:2">
      <c r="A900" s="66"/>
      <c r="B900" s="66"/>
    </row>
    <row r="901" spans="1:2">
      <c r="A901" s="66"/>
      <c r="B901" s="66"/>
    </row>
    <row r="902" spans="1:2">
      <c r="A902" s="66"/>
      <c r="B902" s="66"/>
    </row>
    <row r="903" spans="1:2">
      <c r="A903" s="66"/>
      <c r="B903" s="66"/>
    </row>
    <row r="904" spans="1:2">
      <c r="A904" s="66"/>
      <c r="B904" s="66"/>
    </row>
    <row r="905" spans="1:2">
      <c r="A905" s="66"/>
      <c r="B905" s="66"/>
    </row>
    <row r="906" spans="1:2">
      <c r="A906" s="66"/>
      <c r="B906" s="66"/>
    </row>
    <row r="907" spans="1:2">
      <c r="A907" s="66"/>
      <c r="B907" s="66"/>
    </row>
    <row r="908" spans="1:2">
      <c r="A908" s="66"/>
      <c r="B908" s="66"/>
    </row>
    <row r="909" spans="1:2">
      <c r="A909" s="66"/>
      <c r="B909" s="66"/>
    </row>
    <row r="910" spans="1:2">
      <c r="A910" s="66"/>
      <c r="B910" s="66"/>
    </row>
    <row r="911" spans="1:2">
      <c r="A911" s="66"/>
      <c r="B911" s="66"/>
    </row>
    <row r="912" spans="1:2">
      <c r="A912" s="66"/>
      <c r="B912" s="66"/>
    </row>
    <row r="913" spans="1:2">
      <c r="A913" s="66"/>
      <c r="B913" s="66"/>
    </row>
    <row r="914" spans="1:2">
      <c r="A914" s="66"/>
      <c r="B914" s="66"/>
    </row>
    <row r="915" spans="1:2">
      <c r="A915" s="66"/>
      <c r="B915" s="66"/>
    </row>
    <row r="916" spans="1:2">
      <c r="A916" s="66"/>
      <c r="B916" s="66"/>
    </row>
    <row r="917" spans="1:2">
      <c r="A917" s="66"/>
      <c r="B917" s="66"/>
    </row>
    <row r="918" spans="1:2">
      <c r="A918" s="66"/>
      <c r="B918" s="66"/>
    </row>
    <row r="919" spans="1:2">
      <c r="A919" s="66"/>
      <c r="B919" s="66"/>
    </row>
    <row r="920" spans="1:2">
      <c r="A920" s="66"/>
      <c r="B920" s="66"/>
    </row>
    <row r="921" spans="1:2">
      <c r="A921" s="66"/>
      <c r="B921" s="66"/>
    </row>
    <row r="922" spans="1:2">
      <c r="A922" s="66"/>
      <c r="B922" s="66"/>
    </row>
    <row r="923" spans="1:2">
      <c r="A923" s="66"/>
      <c r="B923" s="66"/>
    </row>
    <row r="924" spans="1:2">
      <c r="A924" s="66"/>
      <c r="B924" s="66"/>
    </row>
    <row r="925" spans="1:2">
      <c r="A925" s="66"/>
      <c r="B925" s="66"/>
    </row>
    <row r="926" spans="1:2">
      <c r="A926" s="66"/>
      <c r="B926" s="66"/>
    </row>
    <row r="927" spans="1:2">
      <c r="A927" s="66"/>
      <c r="B927" s="66"/>
    </row>
    <row r="928" spans="1:2">
      <c r="A928" s="66"/>
      <c r="B928" s="66"/>
    </row>
    <row r="929" spans="1:2">
      <c r="A929" s="66"/>
      <c r="B929" s="66"/>
    </row>
    <row r="930" spans="1:2">
      <c r="A930" s="66"/>
      <c r="B930" s="66"/>
    </row>
    <row r="931" spans="1:2">
      <c r="A931" s="66"/>
      <c r="B931" s="66"/>
    </row>
    <row r="932" spans="1:2">
      <c r="A932" s="66"/>
      <c r="B932" s="66"/>
    </row>
    <row r="933" spans="1:2">
      <c r="A933" s="66"/>
      <c r="B933" s="66"/>
    </row>
    <row r="934" spans="1:2">
      <c r="A934" s="66"/>
      <c r="B934" s="66"/>
    </row>
    <row r="935" spans="1:2">
      <c r="A935" s="66"/>
      <c r="B935" s="66"/>
    </row>
    <row r="936" spans="1:2">
      <c r="A936" s="66"/>
      <c r="B936" s="66"/>
    </row>
    <row r="937" spans="1:2">
      <c r="A937" s="66"/>
      <c r="B937" s="66"/>
    </row>
    <row r="938" spans="1:2">
      <c r="A938" s="66"/>
      <c r="B938" s="66"/>
    </row>
    <row r="939" spans="1:2">
      <c r="A939" s="66"/>
      <c r="B939" s="66"/>
    </row>
    <row r="940" spans="1:2">
      <c r="A940" s="66"/>
      <c r="B940" s="66"/>
    </row>
    <row r="941" spans="1:2">
      <c r="A941" s="66"/>
      <c r="B941" s="66"/>
    </row>
    <row r="942" spans="1:2">
      <c r="A942" s="66"/>
      <c r="B942" s="66"/>
    </row>
    <row r="943" spans="1:2">
      <c r="A943" s="66"/>
      <c r="B943" s="66"/>
    </row>
    <row r="944" spans="1:2">
      <c r="A944" s="66"/>
      <c r="B944" s="66"/>
    </row>
    <row r="945" spans="1:2">
      <c r="A945" s="66"/>
      <c r="B945" s="66"/>
    </row>
    <row r="946" spans="1:2">
      <c r="A946" s="66"/>
      <c r="B946" s="66"/>
    </row>
    <row r="947" spans="1:2">
      <c r="A947" s="66"/>
      <c r="B947" s="66"/>
    </row>
    <row r="948" spans="1:2">
      <c r="A948" s="66"/>
      <c r="B948" s="66"/>
    </row>
    <row r="949" spans="1:2">
      <c r="A949" s="66"/>
      <c r="B949" s="66"/>
    </row>
    <row r="950" spans="1:2">
      <c r="A950" s="66"/>
      <c r="B950" s="66"/>
    </row>
    <row r="951" spans="1:2">
      <c r="A951" s="66"/>
      <c r="B951" s="66"/>
    </row>
    <row r="952" spans="1:2">
      <c r="A952" s="66"/>
      <c r="B952" s="66"/>
    </row>
    <row r="953" spans="1:2">
      <c r="A953" s="66"/>
      <c r="B953" s="66"/>
    </row>
    <row r="954" spans="1:2">
      <c r="A954" s="66"/>
      <c r="B954" s="66"/>
    </row>
    <row r="955" spans="1:2">
      <c r="A955" s="66"/>
      <c r="B955" s="66"/>
    </row>
    <row r="956" spans="1:2">
      <c r="A956" s="66"/>
      <c r="B956" s="66"/>
    </row>
    <row r="957" spans="1:2">
      <c r="A957" s="66"/>
      <c r="B957" s="66"/>
    </row>
    <row r="958" spans="1:2">
      <c r="A958" s="66"/>
      <c r="B958" s="66"/>
    </row>
    <row r="959" spans="1:2">
      <c r="A959" s="66"/>
      <c r="B959" s="66"/>
    </row>
    <row r="960" spans="1:2">
      <c r="A960" s="66"/>
      <c r="B960" s="66"/>
    </row>
    <row r="961" spans="1:2">
      <c r="A961" s="66"/>
      <c r="B961" s="66"/>
    </row>
    <row r="962" spans="1:2">
      <c r="A962" s="66"/>
      <c r="B962" s="66"/>
    </row>
    <row r="963" spans="1:2">
      <c r="A963" s="66"/>
      <c r="B963" s="66"/>
    </row>
    <row r="964" spans="1:2">
      <c r="A964" s="66"/>
      <c r="B964" s="66"/>
    </row>
    <row r="965" spans="1:2">
      <c r="A965" s="66"/>
      <c r="B965" s="66"/>
    </row>
    <row r="966" spans="1:2">
      <c r="A966" s="66"/>
      <c r="B966" s="66"/>
    </row>
    <row r="967" spans="1:2">
      <c r="A967" s="66"/>
      <c r="B967" s="66"/>
    </row>
    <row r="968" spans="1:2">
      <c r="A968" s="66"/>
      <c r="B968" s="66"/>
    </row>
    <row r="969" spans="1:2">
      <c r="A969" s="66"/>
      <c r="B969" s="66"/>
    </row>
    <row r="970" spans="1:2">
      <c r="A970" s="66"/>
      <c r="B970" s="66"/>
    </row>
    <row r="971" spans="1:2">
      <c r="A971" s="66"/>
      <c r="B971" s="66"/>
    </row>
    <row r="972" spans="1:2">
      <c r="A972" s="66"/>
      <c r="B972" s="66"/>
    </row>
    <row r="973" spans="1:2">
      <c r="A973" s="66"/>
      <c r="B973" s="66"/>
    </row>
    <row r="974" spans="1:2">
      <c r="A974" s="66"/>
      <c r="B974" s="66"/>
    </row>
    <row r="975" spans="1:2">
      <c r="A975" s="66"/>
      <c r="B975" s="66"/>
    </row>
    <row r="976" spans="1:2">
      <c r="A976" s="66"/>
      <c r="B976" s="66"/>
    </row>
    <row r="977" spans="1:2">
      <c r="A977" s="66"/>
      <c r="B977" s="66"/>
    </row>
    <row r="978" spans="1:2">
      <c r="A978" s="66"/>
      <c r="B978" s="66"/>
    </row>
    <row r="979" spans="1:2">
      <c r="A979" s="66"/>
      <c r="B979" s="66"/>
    </row>
    <row r="980" spans="1:2">
      <c r="A980" s="66"/>
      <c r="B980" s="66"/>
    </row>
    <row r="981" spans="1:2">
      <c r="A981" s="66"/>
      <c r="B981" s="66"/>
    </row>
    <row r="982" spans="1:2">
      <c r="A982" s="66"/>
      <c r="B982" s="66"/>
    </row>
    <row r="983" spans="1:2">
      <c r="A983" s="66"/>
      <c r="B983" s="66"/>
    </row>
    <row r="984" spans="1:2">
      <c r="A984" s="66"/>
      <c r="B984" s="66"/>
    </row>
    <row r="985" spans="1:2">
      <c r="A985" s="66"/>
      <c r="B985" s="66"/>
    </row>
    <row r="986" spans="1:2">
      <c r="A986" s="66"/>
      <c r="B986" s="66"/>
    </row>
    <row r="987" spans="1:2">
      <c r="A987" s="66"/>
      <c r="B987" s="66"/>
    </row>
    <row r="988" spans="1:2">
      <c r="A988" s="66"/>
      <c r="B988" s="66"/>
    </row>
    <row r="989" spans="1:2">
      <c r="A989" s="66"/>
      <c r="B989" s="66"/>
    </row>
    <row r="990" spans="1:2">
      <c r="A990" s="66"/>
      <c r="B990" s="66"/>
    </row>
    <row r="991" spans="1:2">
      <c r="A991" s="66"/>
      <c r="B991" s="66"/>
    </row>
    <row r="992" spans="1:2">
      <c r="A992" s="66"/>
      <c r="B992" s="66"/>
    </row>
    <row r="993" spans="1:2">
      <c r="A993" s="66"/>
      <c r="B993" s="66"/>
    </row>
    <row r="994" spans="1:2">
      <c r="A994" s="66"/>
      <c r="B994" s="66"/>
    </row>
    <row r="995" spans="1:2">
      <c r="A995" s="66"/>
      <c r="B995" s="66"/>
    </row>
    <row r="996" spans="1:2">
      <c r="A996" s="66"/>
      <c r="B996" s="66"/>
    </row>
    <row r="997" spans="1:2">
      <c r="A997" s="66"/>
      <c r="B997" s="66"/>
    </row>
    <row r="998" spans="1:2">
      <c r="A998" s="66"/>
      <c r="B998" s="66"/>
    </row>
    <row r="999" spans="1:2">
      <c r="A999" s="66"/>
      <c r="B999" s="66"/>
    </row>
    <row r="1000" spans="1:2">
      <c r="A1000" s="66"/>
      <c r="B1000" s="66"/>
    </row>
    <row r="1001" spans="1:2">
      <c r="A1001" s="66"/>
      <c r="B1001" s="66"/>
    </row>
    <row r="1002" spans="1:2">
      <c r="A1002" s="66"/>
      <c r="B1002" s="66"/>
    </row>
  </sheetData>
  <mergeCells count="38">
    <mergeCell ref="D18:E18"/>
    <mergeCell ref="D7:E7"/>
    <mergeCell ref="D14:E14"/>
    <mergeCell ref="D15:E15"/>
    <mergeCell ref="D16:E16"/>
    <mergeCell ref="D17:E17"/>
    <mergeCell ref="D13:E13"/>
    <mergeCell ref="D12:E12"/>
    <mergeCell ref="D10:E10"/>
    <mergeCell ref="D11:E11"/>
    <mergeCell ref="D8:E8"/>
    <mergeCell ref="D9:E9"/>
    <mergeCell ref="D22:E22"/>
    <mergeCell ref="D23:E23"/>
    <mergeCell ref="E31:G31"/>
    <mergeCell ref="D19:E19"/>
    <mergeCell ref="D20:E20"/>
    <mergeCell ref="D21:E21"/>
    <mergeCell ref="D24:E24"/>
    <mergeCell ref="D25:E25"/>
    <mergeCell ref="D26:E26"/>
    <mergeCell ref="D27:E27"/>
    <mergeCell ref="D28:E28"/>
    <mergeCell ref="M1:M2"/>
    <mergeCell ref="I4:I5"/>
    <mergeCell ref="L1:L2"/>
    <mergeCell ref="L4:M4"/>
    <mergeCell ref="L5:M5"/>
    <mergeCell ref="A1:K2"/>
    <mergeCell ref="C4:C5"/>
    <mergeCell ref="D4:D5"/>
    <mergeCell ref="G4:G5"/>
    <mergeCell ref="H4:H5"/>
    <mergeCell ref="E4:E5"/>
    <mergeCell ref="F4:F5"/>
    <mergeCell ref="J4:J5"/>
    <mergeCell ref="A4:A5"/>
    <mergeCell ref="B4:B5"/>
  </mergeCells>
  <pageMargins left="0.23622047244094491" right="0.23622047244094491" top="0.74803149606299213" bottom="0.74803149606299213" header="0.31496062992125984" footer="0.31496062992125984"/>
  <pageSetup scale="6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A811AE-77D1-46BC-8608-D202DEB607C1}">
          <x14:formula1>
            <xm:f>Hoja1!$B$3:$B$4</xm:f>
          </x14:formula1>
          <xm:sqref>B8:B28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1004"/>
  <sheetViews>
    <sheetView topLeftCell="B4" zoomScale="85" zoomScaleNormal="85" workbookViewId="0">
      <selection activeCell="D9" sqref="D9:E9"/>
    </sheetView>
  </sheetViews>
  <sheetFormatPr baseColWidth="10" defaultColWidth="14.3984375" defaultRowHeight="15" customHeight="1"/>
  <cols>
    <col min="1" max="2" width="8.69921875" style="63" customWidth="1"/>
    <col min="3" max="3" width="31" customWidth="1"/>
    <col min="4" max="4" width="20.296875" customWidth="1"/>
    <col min="5" max="5" width="18.3984375" customWidth="1"/>
    <col min="6" max="6" width="17.296875" style="74" customWidth="1"/>
    <col min="7" max="7" width="16.296875" style="74" bestFit="1" customWidth="1"/>
    <col min="8" max="8" width="16.69921875" style="74" customWidth="1"/>
    <col min="9" max="9" width="14.69921875" style="74" customWidth="1"/>
    <col min="10" max="10" width="6.69921875" customWidth="1"/>
    <col min="11" max="11" width="26" bestFit="1" customWidth="1"/>
    <col min="12" max="12" width="10.3984375" customWidth="1"/>
    <col min="13" max="13" width="14.69921875" customWidth="1"/>
    <col min="14" max="14" width="13.69921875" bestFit="1" customWidth="1"/>
    <col min="15" max="29" width="10.69921875" customWidth="1"/>
  </cols>
  <sheetData>
    <row r="1" spans="1:14" ht="14.25" customHeight="1">
      <c r="A1" s="333" t="s">
        <v>218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4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4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4" ht="14.25" customHeight="1" thickTop="1" thickBot="1">
      <c r="A4" s="343" t="s">
        <v>0</v>
      </c>
      <c r="B4" s="353"/>
      <c r="C4" s="345">
        <v>2</v>
      </c>
      <c r="D4" s="347" t="s">
        <v>2</v>
      </c>
      <c r="E4" s="348">
        <v>6000000</v>
      </c>
      <c r="F4" s="326" t="s">
        <v>3</v>
      </c>
      <c r="G4" s="326">
        <f>H8*M8+H9*M9+H10*M10+H11*M11+H12*M12+H13*M13+H14*M14</f>
        <v>4353853.6174999997</v>
      </c>
      <c r="H4" s="328" t="s">
        <v>30</v>
      </c>
      <c r="I4" s="328">
        <f>H15-E4</f>
        <v>1153738.2499999991</v>
      </c>
      <c r="J4" s="351"/>
      <c r="K4" s="33" t="s">
        <v>5</v>
      </c>
      <c r="L4" s="349">
        <f>G4/E4</f>
        <v>0.72564226958333333</v>
      </c>
      <c r="M4" s="350"/>
    </row>
    <row r="5" spans="1:14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AVERAGE(M8:M14)</f>
        <v>0.43571428571428578</v>
      </c>
      <c r="M5" s="350"/>
    </row>
    <row r="6" spans="1:14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4" ht="33.700000000000003" customHeight="1">
      <c r="A7" s="41" t="s">
        <v>7</v>
      </c>
      <c r="B7" s="41" t="s">
        <v>228</v>
      </c>
      <c r="C7" s="41" t="s">
        <v>8</v>
      </c>
      <c r="D7" s="380" t="s">
        <v>9</v>
      </c>
      <c r="E7" s="381"/>
      <c r="F7" s="81" t="s">
        <v>11</v>
      </c>
      <c r="G7" s="81" t="s">
        <v>12</v>
      </c>
      <c r="H7" s="81" t="s">
        <v>13</v>
      </c>
      <c r="I7" s="81" t="s">
        <v>14</v>
      </c>
      <c r="J7" s="41" t="s">
        <v>92</v>
      </c>
      <c r="K7" s="41" t="s">
        <v>15</v>
      </c>
      <c r="L7" s="41" t="s">
        <v>93</v>
      </c>
      <c r="M7" s="41" t="s">
        <v>16</v>
      </c>
    </row>
    <row r="8" spans="1:14" ht="109.15" customHeight="1">
      <c r="A8" s="104">
        <v>1</v>
      </c>
      <c r="B8" s="40">
        <v>2025</v>
      </c>
      <c r="C8" s="114" t="s">
        <v>55</v>
      </c>
      <c r="D8" s="332" t="s">
        <v>383</v>
      </c>
      <c r="E8" s="332"/>
      <c r="F8" s="90">
        <f>21344142.99/1.16</f>
        <v>18400123.267241377</v>
      </c>
      <c r="G8" s="90">
        <f>15948348.03</f>
        <v>15948348.029999999</v>
      </c>
      <c r="H8" s="90">
        <v>4814213.6399999997</v>
      </c>
      <c r="I8" s="91">
        <f t="shared" ref="I8" si="0">H8/3</f>
        <v>1604737.88</v>
      </c>
      <c r="J8" s="46">
        <f>H8/F8</f>
        <v>0.2616402928436341</v>
      </c>
      <c r="K8" s="47" t="s">
        <v>56</v>
      </c>
      <c r="L8" s="46">
        <v>1</v>
      </c>
      <c r="M8" s="46">
        <v>0.6</v>
      </c>
      <c r="N8" s="169"/>
    </row>
    <row r="9" spans="1:14" ht="98.35" customHeight="1">
      <c r="A9" s="137">
        <v>2</v>
      </c>
      <c r="B9" s="39">
        <v>2025</v>
      </c>
      <c r="C9" s="42" t="s">
        <v>57</v>
      </c>
      <c r="D9" s="421" t="s">
        <v>164</v>
      </c>
      <c r="E9" s="355"/>
      <c r="F9" s="88">
        <f>2691748.5/1.16</f>
        <v>2320472.8448275863</v>
      </c>
      <c r="G9" s="88">
        <v>1681538.07</v>
      </c>
      <c r="H9" s="88">
        <v>697410.68</v>
      </c>
      <c r="I9" s="89">
        <f>H9/3</f>
        <v>232470.22666666668</v>
      </c>
      <c r="J9" s="43">
        <f>H9/F9</f>
        <v>0.30054679655250111</v>
      </c>
      <c r="K9" s="44" t="s">
        <v>22</v>
      </c>
      <c r="L9" s="43">
        <v>1</v>
      </c>
      <c r="M9" s="43">
        <v>0</v>
      </c>
    </row>
    <row r="10" spans="1:14" ht="25.35">
      <c r="A10" s="140">
        <v>3</v>
      </c>
      <c r="B10" s="40">
        <v>2025</v>
      </c>
      <c r="C10" s="141" t="s">
        <v>250</v>
      </c>
      <c r="D10" s="422" t="s">
        <v>299</v>
      </c>
      <c r="E10" s="422"/>
      <c r="F10" s="142">
        <v>3823738.95</v>
      </c>
      <c r="G10" s="142">
        <v>1814481.69</v>
      </c>
      <c r="H10" s="142">
        <v>1261852</v>
      </c>
      <c r="I10" s="143">
        <f>H10/3</f>
        <v>420617.33333333331</v>
      </c>
      <c r="J10" s="144">
        <f>H10/F10</f>
        <v>0.33000474574761435</v>
      </c>
      <c r="K10" s="145" t="s">
        <v>22</v>
      </c>
      <c r="L10" s="144">
        <v>1</v>
      </c>
      <c r="M10" s="144">
        <v>1</v>
      </c>
    </row>
    <row r="11" spans="1:14" ht="86.15" customHeight="1">
      <c r="A11" s="137">
        <v>4</v>
      </c>
      <c r="B11" s="39">
        <v>2026</v>
      </c>
      <c r="C11" s="42" t="s">
        <v>144</v>
      </c>
      <c r="D11" s="421" t="s">
        <v>286</v>
      </c>
      <c r="E11" s="355"/>
      <c r="F11" s="88"/>
      <c r="G11" s="88"/>
      <c r="H11" s="88"/>
      <c r="I11" s="89"/>
      <c r="J11" s="43"/>
      <c r="K11" s="44" t="s">
        <v>22</v>
      </c>
      <c r="L11" s="43">
        <v>0</v>
      </c>
      <c r="M11" s="43">
        <v>0</v>
      </c>
    </row>
    <row r="12" spans="1:14" ht="14.4">
      <c r="A12" s="140">
        <v>5</v>
      </c>
      <c r="B12" s="40">
        <v>2026</v>
      </c>
      <c r="C12" s="141" t="s">
        <v>251</v>
      </c>
      <c r="D12" s="422" t="s">
        <v>300</v>
      </c>
      <c r="E12" s="422"/>
      <c r="F12" s="142">
        <f>1157644.17/1.16</f>
        <v>997969.11206896557</v>
      </c>
      <c r="G12" s="142">
        <v>571190.39</v>
      </c>
      <c r="H12" s="142">
        <v>321433.63</v>
      </c>
      <c r="I12" s="143">
        <f>H12/3</f>
        <v>107144.54333333333</v>
      </c>
      <c r="J12" s="144">
        <v>0.32</v>
      </c>
      <c r="K12" s="145" t="s">
        <v>22</v>
      </c>
      <c r="L12" s="144">
        <v>1</v>
      </c>
      <c r="M12" s="144">
        <v>0.45</v>
      </c>
    </row>
    <row r="13" spans="1:14" ht="25.35">
      <c r="A13" s="137">
        <v>6</v>
      </c>
      <c r="B13" s="39">
        <v>2026</v>
      </c>
      <c r="C13" s="42" t="s">
        <v>266</v>
      </c>
      <c r="D13" s="421" t="s">
        <v>301</v>
      </c>
      <c r="E13" s="355"/>
      <c r="F13" s="88">
        <v>181486.07</v>
      </c>
      <c r="G13" s="88">
        <v>102112.3</v>
      </c>
      <c r="H13" s="88">
        <v>58828.3</v>
      </c>
      <c r="I13" s="89">
        <f>H13/3</f>
        <v>19609.433333333334</v>
      </c>
      <c r="J13" s="43">
        <v>0.32</v>
      </c>
      <c r="K13" s="44" t="s">
        <v>22</v>
      </c>
      <c r="L13" s="43">
        <v>1</v>
      </c>
      <c r="M13" s="43">
        <v>1</v>
      </c>
    </row>
    <row r="14" spans="1:14" ht="38.049999999999997">
      <c r="A14" s="140">
        <v>7</v>
      </c>
      <c r="B14" s="40">
        <v>2026</v>
      </c>
      <c r="C14" s="141" t="s">
        <v>298</v>
      </c>
      <c r="D14" s="422" t="s">
        <v>302</v>
      </c>
      <c r="E14" s="422"/>
      <c r="F14" s="142">
        <f>410172.1/1.16</f>
        <v>353596.63793103449</v>
      </c>
      <c r="G14" s="142"/>
      <c r="H14" s="142"/>
      <c r="I14" s="143"/>
      <c r="J14" s="144"/>
      <c r="K14" s="145" t="s">
        <v>22</v>
      </c>
      <c r="L14" s="144">
        <v>1</v>
      </c>
      <c r="M14" s="144">
        <v>0</v>
      </c>
    </row>
    <row r="15" spans="1:14" ht="14.25" customHeight="1">
      <c r="E15" s="11" t="s">
        <v>20</v>
      </c>
      <c r="F15" s="73">
        <f>SUM(F8:F14)</f>
        <v>26077386.882068962</v>
      </c>
      <c r="G15" s="73">
        <f>SUM(G8:G14)</f>
        <v>20117670.48</v>
      </c>
      <c r="H15" s="73">
        <f>SUM(H8:H14)</f>
        <v>7153738.2499999991</v>
      </c>
      <c r="I15" s="73">
        <f>SUM(I8:I14)</f>
        <v>2384579.4166666665</v>
      </c>
      <c r="J15" s="25"/>
      <c r="K15" s="25"/>
      <c r="L15" s="25"/>
    </row>
    <row r="16" spans="1:14" ht="14.25" customHeight="1">
      <c r="K16" s="25"/>
      <c r="L16" s="25"/>
    </row>
    <row r="17" spans="5:12" ht="14.25" customHeight="1">
      <c r="E17" s="322" t="s">
        <v>21</v>
      </c>
      <c r="F17" s="322"/>
      <c r="G17" s="322"/>
      <c r="H17" s="46">
        <f>H15/F15</f>
        <v>0.27432726608504521</v>
      </c>
      <c r="K17" s="25"/>
      <c r="L17" s="25"/>
    </row>
    <row r="18" spans="5:12" ht="14.25" customHeight="1">
      <c r="K18" s="25"/>
      <c r="L18" s="25"/>
    </row>
    <row r="19" spans="5:12" ht="14.25" customHeight="1">
      <c r="K19" s="25"/>
      <c r="L19" s="25"/>
    </row>
    <row r="20" spans="5:12" ht="14.25" customHeight="1">
      <c r="K20" s="25"/>
      <c r="L20" s="25"/>
    </row>
    <row r="21" spans="5:12" ht="14.25" customHeight="1">
      <c r="K21" s="25"/>
      <c r="L21" s="25"/>
    </row>
    <row r="22" spans="5:12" ht="14.25" customHeight="1">
      <c r="K22" s="25"/>
      <c r="L22" s="25"/>
    </row>
    <row r="23" spans="5:12" ht="14.25" customHeight="1">
      <c r="K23" s="25"/>
      <c r="L23" s="25"/>
    </row>
    <row r="24" spans="5:12" ht="14.25" customHeight="1">
      <c r="K24" s="25"/>
      <c r="L24" s="25"/>
    </row>
    <row r="25" spans="5:12" ht="14.25" customHeight="1">
      <c r="K25" s="25"/>
      <c r="L25" s="25"/>
    </row>
    <row r="26" spans="5:12" ht="14.25" customHeight="1">
      <c r="K26" s="25"/>
      <c r="L26" s="25"/>
    </row>
    <row r="27" spans="5:12" ht="14.25" customHeight="1">
      <c r="K27" s="25"/>
      <c r="L27" s="25"/>
    </row>
    <row r="28" spans="5:12" ht="14.25" customHeight="1">
      <c r="K28" s="25"/>
      <c r="L28" s="25"/>
    </row>
    <row r="29" spans="5:12" ht="14.25" customHeight="1">
      <c r="K29" s="25"/>
      <c r="L29" s="25"/>
    </row>
    <row r="30" spans="5:12" ht="14.25" customHeight="1">
      <c r="K30" s="25"/>
      <c r="L30" s="25"/>
    </row>
    <row r="31" spans="5:12" ht="14.25" customHeight="1">
      <c r="K31" s="25"/>
      <c r="L31" s="25"/>
    </row>
    <row r="32" spans="5:12" ht="14.25" customHeight="1">
      <c r="K32" s="25"/>
      <c r="L32" s="25"/>
    </row>
    <row r="33" spans="11:12" ht="14.25" customHeight="1">
      <c r="K33" s="25"/>
      <c r="L33" s="25"/>
    </row>
    <row r="34" spans="11:12" ht="14.25" customHeight="1">
      <c r="K34" s="25"/>
      <c r="L34" s="25"/>
    </row>
    <row r="35" spans="11:12" ht="14.25" customHeight="1">
      <c r="K35" s="25"/>
      <c r="L35" s="25"/>
    </row>
    <row r="36" spans="11:12" ht="14.25" customHeight="1">
      <c r="K36" s="25"/>
      <c r="L36" s="25"/>
    </row>
    <row r="37" spans="11:12" ht="14.25" customHeight="1">
      <c r="K37" s="25"/>
      <c r="L37" s="25"/>
    </row>
    <row r="38" spans="11:12" ht="14.25" customHeight="1">
      <c r="K38" s="25"/>
      <c r="L38" s="25"/>
    </row>
    <row r="39" spans="11:12" ht="14.25" customHeight="1">
      <c r="K39" s="25"/>
      <c r="L39" s="25"/>
    </row>
    <row r="40" spans="11:12" ht="14.25" customHeight="1">
      <c r="K40" s="25"/>
      <c r="L40" s="25"/>
    </row>
    <row r="41" spans="11:12" ht="14.25" customHeight="1">
      <c r="K41" s="25"/>
      <c r="L41" s="25"/>
    </row>
    <row r="42" spans="11:12" ht="14.25" customHeight="1">
      <c r="K42" s="25"/>
      <c r="L42" s="25"/>
    </row>
    <row r="43" spans="11:12" ht="14.25" customHeight="1">
      <c r="K43" s="25"/>
      <c r="L43" s="25"/>
    </row>
    <row r="44" spans="11:12" ht="14.25" customHeight="1">
      <c r="K44" s="25"/>
      <c r="L44" s="25"/>
    </row>
    <row r="45" spans="11:12" ht="14.25" customHeight="1">
      <c r="K45" s="25"/>
      <c r="L45" s="25"/>
    </row>
    <row r="46" spans="11:12" ht="14.25" customHeight="1">
      <c r="K46" s="25"/>
      <c r="L46" s="25"/>
    </row>
    <row r="47" spans="11:12" ht="14.25" customHeight="1">
      <c r="K47" s="25"/>
      <c r="L47" s="25"/>
    </row>
    <row r="48" spans="11:12" ht="14.25" customHeight="1">
      <c r="K48" s="25"/>
      <c r="L48" s="25"/>
    </row>
    <row r="49" spans="11:12" ht="14.25" customHeight="1">
      <c r="K49" s="25"/>
      <c r="L49" s="25"/>
    </row>
    <row r="50" spans="11:12" ht="14.25" customHeight="1">
      <c r="K50" s="25"/>
      <c r="L50" s="25"/>
    </row>
    <row r="51" spans="11:12" ht="14.25" customHeight="1">
      <c r="K51" s="25"/>
      <c r="L51" s="25"/>
    </row>
    <row r="52" spans="11:12" ht="14.25" customHeight="1">
      <c r="K52" s="25"/>
      <c r="L52" s="25"/>
    </row>
    <row r="53" spans="11:12" ht="14.25" customHeight="1">
      <c r="K53" s="25"/>
      <c r="L53" s="25"/>
    </row>
    <row r="54" spans="11:12" ht="14.25" customHeight="1">
      <c r="K54" s="25"/>
      <c r="L54" s="25"/>
    </row>
    <row r="55" spans="11:12" ht="14.25" customHeight="1">
      <c r="K55" s="25"/>
      <c r="L55" s="25"/>
    </row>
    <row r="56" spans="11:12" ht="14.25" customHeight="1">
      <c r="K56" s="25"/>
      <c r="L56" s="25"/>
    </row>
    <row r="57" spans="11:12" ht="14.25" customHeight="1">
      <c r="K57" s="25"/>
      <c r="L57" s="25"/>
    </row>
    <row r="58" spans="11:12" ht="14.25" customHeight="1">
      <c r="K58" s="25"/>
      <c r="L58" s="25"/>
    </row>
    <row r="59" spans="11:12" ht="14.25" customHeight="1">
      <c r="K59" s="25"/>
      <c r="L59" s="25"/>
    </row>
    <row r="60" spans="11:12" ht="14.25" customHeight="1">
      <c r="K60" s="25"/>
      <c r="L60" s="25"/>
    </row>
    <row r="61" spans="11:12" ht="14.25" customHeight="1">
      <c r="K61" s="25"/>
      <c r="L61" s="25"/>
    </row>
    <row r="62" spans="11:12" ht="14.25" customHeight="1">
      <c r="K62" s="25"/>
      <c r="L62" s="25"/>
    </row>
    <row r="63" spans="11:12" ht="14.25" customHeight="1">
      <c r="K63" s="25"/>
      <c r="L63" s="25"/>
    </row>
    <row r="64" spans="11:12" ht="14.25" customHeight="1">
      <c r="K64" s="25"/>
      <c r="L64" s="25"/>
    </row>
    <row r="65" spans="11:12" ht="14.25" customHeight="1">
      <c r="K65" s="25"/>
      <c r="L65" s="25"/>
    </row>
    <row r="66" spans="11:12" ht="14.25" customHeight="1">
      <c r="K66" s="25"/>
      <c r="L66" s="25"/>
    </row>
    <row r="67" spans="11:12" ht="14.25" customHeight="1">
      <c r="K67" s="25"/>
      <c r="L67" s="25"/>
    </row>
    <row r="68" spans="11:12" ht="14.25" customHeight="1">
      <c r="K68" s="25"/>
      <c r="L68" s="25"/>
    </row>
    <row r="69" spans="11:12" ht="14.25" customHeight="1">
      <c r="K69" s="25"/>
      <c r="L69" s="25"/>
    </row>
    <row r="70" spans="11:12" ht="14.25" customHeight="1">
      <c r="K70" s="25"/>
      <c r="L70" s="25"/>
    </row>
    <row r="71" spans="11:12" ht="14.25" customHeight="1">
      <c r="K71" s="25"/>
      <c r="L71" s="25"/>
    </row>
    <row r="72" spans="11:12" ht="14.25" customHeight="1">
      <c r="K72" s="25"/>
      <c r="L72" s="25"/>
    </row>
    <row r="73" spans="11:12" ht="14.25" customHeight="1">
      <c r="K73" s="25"/>
      <c r="L73" s="25"/>
    </row>
    <row r="74" spans="11:12" ht="14.25" customHeight="1">
      <c r="K74" s="25"/>
      <c r="L74" s="25"/>
    </row>
    <row r="75" spans="11:12" ht="14.25" customHeight="1">
      <c r="K75" s="25"/>
      <c r="L75" s="25"/>
    </row>
    <row r="76" spans="11:12" ht="14.25" customHeight="1">
      <c r="K76" s="25"/>
      <c r="L76" s="25"/>
    </row>
    <row r="77" spans="11:12" ht="14.25" customHeight="1">
      <c r="K77" s="25"/>
      <c r="L77" s="25"/>
    </row>
    <row r="78" spans="11:12" ht="14.25" customHeight="1">
      <c r="K78" s="25"/>
      <c r="L78" s="25"/>
    </row>
    <row r="79" spans="11:12" ht="14.25" customHeight="1">
      <c r="K79" s="25"/>
      <c r="L79" s="25"/>
    </row>
    <row r="80" spans="11:12" ht="14.25" customHeight="1">
      <c r="K80" s="25"/>
      <c r="L80" s="25"/>
    </row>
    <row r="81" spans="11:12" ht="14.25" customHeight="1">
      <c r="K81" s="25"/>
      <c r="L81" s="25"/>
    </row>
    <row r="82" spans="11:12" ht="14.25" customHeight="1">
      <c r="K82" s="25"/>
      <c r="L82" s="25"/>
    </row>
    <row r="83" spans="11:12" ht="14.25" customHeight="1">
      <c r="K83" s="25"/>
      <c r="L83" s="25"/>
    </row>
    <row r="84" spans="11:12" ht="14.25" customHeight="1">
      <c r="K84" s="25"/>
      <c r="L84" s="25"/>
    </row>
    <row r="85" spans="11:12" ht="14.25" customHeight="1">
      <c r="K85" s="25"/>
      <c r="L85" s="25"/>
    </row>
    <row r="86" spans="11:12" ht="14.25" customHeight="1">
      <c r="K86" s="25"/>
      <c r="L86" s="25"/>
    </row>
    <row r="87" spans="11:12" ht="14.25" customHeight="1">
      <c r="K87" s="25"/>
      <c r="L87" s="25"/>
    </row>
    <row r="88" spans="11:12" ht="14.25" customHeight="1">
      <c r="K88" s="25"/>
      <c r="L88" s="25"/>
    </row>
    <row r="89" spans="11:12" ht="14.25" customHeight="1">
      <c r="K89" s="25"/>
      <c r="L89" s="25"/>
    </row>
    <row r="90" spans="11:12" ht="14.25" customHeight="1">
      <c r="K90" s="25"/>
      <c r="L90" s="25"/>
    </row>
    <row r="91" spans="11:12" ht="14.25" customHeight="1">
      <c r="K91" s="25"/>
      <c r="L91" s="25"/>
    </row>
    <row r="92" spans="11:12" ht="14.25" customHeight="1">
      <c r="K92" s="25"/>
      <c r="L92" s="25"/>
    </row>
    <row r="93" spans="11:12" ht="14.25" customHeight="1">
      <c r="K93" s="25"/>
      <c r="L93" s="25"/>
    </row>
    <row r="94" spans="11:12" ht="14.25" customHeight="1">
      <c r="K94" s="25"/>
      <c r="L94" s="25"/>
    </row>
    <row r="95" spans="11:12" ht="14.25" customHeight="1">
      <c r="K95" s="25"/>
      <c r="L95" s="25"/>
    </row>
    <row r="96" spans="11:12" ht="14.25" customHeight="1">
      <c r="K96" s="25"/>
      <c r="L96" s="25"/>
    </row>
    <row r="97" spans="11:12" ht="14.25" customHeight="1">
      <c r="K97" s="25"/>
      <c r="L97" s="25"/>
    </row>
    <row r="98" spans="11:12" ht="14.25" customHeight="1">
      <c r="K98" s="25"/>
      <c r="L98" s="25"/>
    </row>
    <row r="99" spans="11:12" ht="14.25" customHeight="1">
      <c r="K99" s="25"/>
      <c r="L99" s="25"/>
    </row>
    <row r="100" spans="11:12" ht="14.25" customHeight="1">
      <c r="K100" s="25"/>
      <c r="L100" s="25"/>
    </row>
    <row r="101" spans="11:12" ht="14.25" customHeight="1">
      <c r="K101" s="25"/>
      <c r="L101" s="25"/>
    </row>
    <row r="102" spans="11:12" ht="14.25" customHeight="1">
      <c r="K102" s="25"/>
      <c r="L102" s="25"/>
    </row>
    <row r="103" spans="11:12" ht="14.25" customHeight="1">
      <c r="K103" s="25"/>
      <c r="L103" s="25"/>
    </row>
    <row r="104" spans="11:12" ht="14.25" customHeight="1">
      <c r="K104" s="25"/>
      <c r="L104" s="25"/>
    </row>
    <row r="105" spans="11:12" ht="14.25" customHeight="1">
      <c r="K105" s="25"/>
      <c r="L105" s="25"/>
    </row>
    <row r="106" spans="11:12" ht="14.25" customHeight="1">
      <c r="K106" s="25"/>
      <c r="L106" s="25"/>
    </row>
    <row r="107" spans="11:12" ht="14.25" customHeight="1">
      <c r="K107" s="25"/>
      <c r="L107" s="25"/>
    </row>
    <row r="108" spans="11:12" ht="14.25" customHeight="1">
      <c r="K108" s="25"/>
      <c r="L108" s="25"/>
    </row>
    <row r="109" spans="11:12" ht="14.25" customHeight="1">
      <c r="K109" s="25"/>
      <c r="L109" s="25"/>
    </row>
    <row r="110" spans="11:12" ht="14.25" customHeight="1">
      <c r="K110" s="25"/>
      <c r="L110" s="25"/>
    </row>
    <row r="111" spans="11:12" ht="14.25" customHeight="1">
      <c r="K111" s="25"/>
      <c r="L111" s="25"/>
    </row>
    <row r="112" spans="11:12" ht="14.25" customHeight="1">
      <c r="K112" s="25"/>
      <c r="L112" s="25"/>
    </row>
    <row r="113" spans="11:12" ht="14.25" customHeight="1">
      <c r="K113" s="25"/>
      <c r="L113" s="25"/>
    </row>
    <row r="114" spans="11:12" ht="14.25" customHeight="1">
      <c r="K114" s="25"/>
      <c r="L114" s="25"/>
    </row>
    <row r="115" spans="11:12" ht="14.25" customHeight="1">
      <c r="K115" s="25"/>
      <c r="L115" s="25"/>
    </row>
    <row r="116" spans="11:12" ht="14.25" customHeight="1">
      <c r="K116" s="25"/>
      <c r="L116" s="25"/>
    </row>
    <row r="117" spans="11:12" ht="14.25" customHeight="1">
      <c r="K117" s="25"/>
      <c r="L117" s="25"/>
    </row>
    <row r="118" spans="11:12" ht="14.25" customHeight="1">
      <c r="K118" s="25"/>
      <c r="L118" s="25"/>
    </row>
    <row r="119" spans="11:12" ht="14.25" customHeight="1">
      <c r="K119" s="25"/>
      <c r="L119" s="25"/>
    </row>
    <row r="120" spans="11:12" ht="14.25" customHeight="1">
      <c r="K120" s="25"/>
      <c r="L120" s="25"/>
    </row>
    <row r="121" spans="11:12" ht="14.25" customHeight="1">
      <c r="K121" s="25"/>
      <c r="L121" s="25"/>
    </row>
    <row r="122" spans="11:12" ht="14.25" customHeight="1">
      <c r="K122" s="25"/>
      <c r="L122" s="25"/>
    </row>
    <row r="123" spans="11:12" ht="14.25" customHeight="1">
      <c r="K123" s="25"/>
      <c r="L123" s="25"/>
    </row>
    <row r="124" spans="11:12" ht="14.25" customHeight="1">
      <c r="K124" s="25"/>
      <c r="L124" s="25"/>
    </row>
    <row r="125" spans="11:12" ht="14.25" customHeight="1">
      <c r="K125" s="25"/>
      <c r="L125" s="25"/>
    </row>
    <row r="126" spans="11:12" ht="14.25" customHeight="1">
      <c r="K126" s="25"/>
      <c r="L126" s="25"/>
    </row>
    <row r="127" spans="11:12" ht="14.25" customHeight="1">
      <c r="K127" s="25"/>
      <c r="L127" s="25"/>
    </row>
    <row r="128" spans="11:12" ht="14.25" customHeight="1">
      <c r="K128" s="25"/>
      <c r="L128" s="25"/>
    </row>
    <row r="129" spans="11:12" ht="14.25" customHeight="1">
      <c r="K129" s="25"/>
      <c r="L129" s="25"/>
    </row>
    <row r="130" spans="11:12" ht="14.25" customHeight="1">
      <c r="K130" s="25"/>
      <c r="L130" s="25"/>
    </row>
    <row r="131" spans="11:12" ht="14.25" customHeight="1">
      <c r="K131" s="25"/>
      <c r="L131" s="25"/>
    </row>
    <row r="132" spans="11:12" ht="14.25" customHeight="1">
      <c r="K132" s="25"/>
      <c r="L132" s="25"/>
    </row>
    <row r="133" spans="11:12" ht="14.25" customHeight="1">
      <c r="K133" s="25"/>
      <c r="L133" s="25"/>
    </row>
    <row r="134" spans="11:12" ht="14.25" customHeight="1">
      <c r="K134" s="25"/>
      <c r="L134" s="25"/>
    </row>
    <row r="135" spans="11:12" ht="14.25" customHeight="1">
      <c r="K135" s="25"/>
      <c r="L135" s="25"/>
    </row>
    <row r="136" spans="11:12" ht="14.25" customHeight="1">
      <c r="K136" s="25"/>
      <c r="L136" s="25"/>
    </row>
    <row r="137" spans="11:12" ht="14.25" customHeight="1">
      <c r="K137" s="25"/>
      <c r="L137" s="25"/>
    </row>
    <row r="138" spans="11:12" ht="14.25" customHeight="1">
      <c r="K138" s="25"/>
      <c r="L138" s="25"/>
    </row>
    <row r="139" spans="11:12" ht="14.25" customHeight="1">
      <c r="K139" s="25"/>
      <c r="L139" s="25"/>
    </row>
    <row r="140" spans="11:12" ht="14.25" customHeight="1">
      <c r="K140" s="25"/>
      <c r="L140" s="25"/>
    </row>
    <row r="141" spans="11:12" ht="14.25" customHeight="1">
      <c r="K141" s="25"/>
      <c r="L141" s="25"/>
    </row>
    <row r="142" spans="11:12" ht="14.25" customHeight="1">
      <c r="K142" s="25"/>
      <c r="L142" s="25"/>
    </row>
    <row r="143" spans="11:12" ht="14.25" customHeight="1">
      <c r="K143" s="25"/>
      <c r="L143" s="25"/>
    </row>
    <row r="144" spans="11:12" ht="14.25" customHeight="1">
      <c r="K144" s="25"/>
      <c r="L144" s="25"/>
    </row>
    <row r="145" spans="11:12" ht="14.25" customHeight="1">
      <c r="K145" s="25"/>
      <c r="L145" s="25"/>
    </row>
    <row r="146" spans="11:12" ht="14.25" customHeight="1">
      <c r="K146" s="25"/>
      <c r="L146" s="25"/>
    </row>
    <row r="147" spans="11:12" ht="14.25" customHeight="1">
      <c r="K147" s="25"/>
      <c r="L147" s="25"/>
    </row>
    <row r="148" spans="11:12" ht="14.25" customHeight="1">
      <c r="K148" s="25"/>
      <c r="L148" s="25"/>
    </row>
    <row r="149" spans="11:12" ht="14.25" customHeight="1">
      <c r="K149" s="25"/>
      <c r="L149" s="25"/>
    </row>
    <row r="150" spans="11:12" ht="14.25" customHeight="1">
      <c r="K150" s="25"/>
      <c r="L150" s="25"/>
    </row>
    <row r="151" spans="11:12" ht="14.25" customHeight="1">
      <c r="K151" s="25"/>
      <c r="L151" s="25"/>
    </row>
    <row r="152" spans="11:12" ht="14.25" customHeight="1">
      <c r="K152" s="25"/>
      <c r="L152" s="25"/>
    </row>
    <row r="153" spans="11:12" ht="14.25" customHeight="1">
      <c r="K153" s="25"/>
      <c r="L153" s="25"/>
    </row>
    <row r="154" spans="11:12" ht="14.25" customHeight="1">
      <c r="K154" s="25"/>
      <c r="L154" s="25"/>
    </row>
    <row r="155" spans="11:12" ht="14.25" customHeight="1">
      <c r="K155" s="25"/>
      <c r="L155" s="25"/>
    </row>
    <row r="156" spans="11:12" ht="14.25" customHeight="1">
      <c r="K156" s="25"/>
      <c r="L156" s="25"/>
    </row>
    <row r="157" spans="11:12" ht="14.25" customHeight="1">
      <c r="K157" s="25"/>
      <c r="L157" s="25"/>
    </row>
    <row r="158" spans="11:12" ht="14.25" customHeight="1">
      <c r="K158" s="25"/>
      <c r="L158" s="25"/>
    </row>
    <row r="159" spans="11:12" ht="14.25" customHeight="1">
      <c r="K159" s="25"/>
      <c r="L159" s="25"/>
    </row>
    <row r="160" spans="11:12" ht="14.25" customHeight="1">
      <c r="K160" s="25"/>
      <c r="L160" s="25"/>
    </row>
    <row r="161" spans="11:12" ht="14.25" customHeight="1">
      <c r="K161" s="25"/>
      <c r="L161" s="25"/>
    </row>
    <row r="162" spans="11:12" ht="14.25" customHeight="1">
      <c r="K162" s="25"/>
      <c r="L162" s="25"/>
    </row>
    <row r="163" spans="11:12" ht="14.25" customHeight="1">
      <c r="K163" s="25"/>
      <c r="L163" s="25"/>
    </row>
    <row r="164" spans="11:12" ht="14.25" customHeight="1">
      <c r="K164" s="25"/>
      <c r="L164" s="25"/>
    </row>
    <row r="165" spans="11:12" ht="14.25" customHeight="1">
      <c r="K165" s="25"/>
      <c r="L165" s="25"/>
    </row>
    <row r="166" spans="11:12" ht="14.25" customHeight="1">
      <c r="K166" s="25"/>
      <c r="L166" s="25"/>
    </row>
    <row r="167" spans="11:12" ht="14.25" customHeight="1">
      <c r="K167" s="25"/>
      <c r="L167" s="25"/>
    </row>
    <row r="168" spans="11:12" ht="14.25" customHeight="1">
      <c r="K168" s="25"/>
      <c r="L168" s="25"/>
    </row>
    <row r="169" spans="11:12" ht="14.25" customHeight="1">
      <c r="K169" s="25"/>
      <c r="L169" s="25"/>
    </row>
    <row r="170" spans="11:12" ht="14.25" customHeight="1">
      <c r="K170" s="25"/>
      <c r="L170" s="25"/>
    </row>
    <row r="171" spans="11:12" ht="14.25" customHeight="1">
      <c r="K171" s="25"/>
      <c r="L171" s="25"/>
    </row>
    <row r="172" spans="11:12" ht="14.25" customHeight="1">
      <c r="K172" s="25"/>
      <c r="L172" s="25"/>
    </row>
    <row r="173" spans="11:12" ht="14.25" customHeight="1">
      <c r="K173" s="25"/>
      <c r="L173" s="25"/>
    </row>
    <row r="174" spans="11:12" ht="14.25" customHeight="1">
      <c r="K174" s="25"/>
      <c r="L174" s="25"/>
    </row>
    <row r="175" spans="11:12" ht="14.25" customHeight="1">
      <c r="K175" s="25"/>
      <c r="L175" s="25"/>
    </row>
    <row r="176" spans="11:12" ht="14.25" customHeight="1">
      <c r="K176" s="25"/>
      <c r="L176" s="25"/>
    </row>
    <row r="177" spans="11:12" ht="14.25" customHeight="1">
      <c r="K177" s="25"/>
      <c r="L177" s="25"/>
    </row>
    <row r="178" spans="11:12" ht="14.25" customHeight="1">
      <c r="K178" s="25"/>
      <c r="L178" s="25"/>
    </row>
    <row r="179" spans="11:12" ht="14.25" customHeight="1">
      <c r="K179" s="25"/>
      <c r="L179" s="25"/>
    </row>
    <row r="180" spans="11:12" ht="14.25" customHeight="1">
      <c r="K180" s="25"/>
      <c r="L180" s="25"/>
    </row>
    <row r="181" spans="11:12" ht="14.25" customHeight="1">
      <c r="K181" s="25"/>
      <c r="L181" s="25"/>
    </row>
    <row r="182" spans="11:12" ht="14.25" customHeight="1">
      <c r="K182" s="25"/>
      <c r="L182" s="25"/>
    </row>
    <row r="183" spans="11:12" ht="14.25" customHeight="1">
      <c r="K183" s="25"/>
      <c r="L183" s="25"/>
    </row>
    <row r="184" spans="11:12" ht="14.25" customHeight="1">
      <c r="K184" s="25"/>
      <c r="L184" s="25"/>
    </row>
    <row r="185" spans="11:12" ht="14.25" customHeight="1">
      <c r="K185" s="25"/>
      <c r="L185" s="25"/>
    </row>
    <row r="186" spans="11:12" ht="14.25" customHeight="1">
      <c r="K186" s="25"/>
      <c r="L186" s="25"/>
    </row>
    <row r="187" spans="11:12" ht="14.25" customHeight="1">
      <c r="K187" s="25"/>
      <c r="L187" s="25"/>
    </row>
    <row r="188" spans="11:12" ht="14.25" customHeight="1">
      <c r="K188" s="25"/>
      <c r="L188" s="25"/>
    </row>
    <row r="189" spans="11:12" ht="14.25" customHeight="1">
      <c r="K189" s="25"/>
      <c r="L189" s="25"/>
    </row>
    <row r="190" spans="11:12" ht="14.25" customHeight="1">
      <c r="K190" s="25"/>
      <c r="L190" s="25"/>
    </row>
    <row r="191" spans="11:12" ht="14.25" customHeight="1">
      <c r="K191" s="25"/>
      <c r="L191" s="25"/>
    </row>
    <row r="192" spans="11:12" ht="14.25" customHeight="1">
      <c r="K192" s="25"/>
      <c r="L192" s="25"/>
    </row>
    <row r="193" spans="11:12" ht="14.25" customHeight="1">
      <c r="K193" s="25"/>
      <c r="L193" s="25"/>
    </row>
    <row r="194" spans="11:12" ht="14.25" customHeight="1">
      <c r="K194" s="25"/>
      <c r="L194" s="25"/>
    </row>
    <row r="195" spans="11:12" ht="14.25" customHeight="1">
      <c r="K195" s="25"/>
      <c r="L195" s="25"/>
    </row>
    <row r="196" spans="11:12" ht="14.25" customHeight="1">
      <c r="K196" s="25"/>
      <c r="L196" s="25"/>
    </row>
    <row r="197" spans="11:12" ht="14.25" customHeight="1">
      <c r="K197" s="25"/>
      <c r="L197" s="25"/>
    </row>
    <row r="198" spans="11:12" ht="14.25" customHeight="1">
      <c r="K198" s="25"/>
      <c r="L198" s="25"/>
    </row>
    <row r="199" spans="11:12" ht="14.25" customHeight="1">
      <c r="K199" s="25"/>
      <c r="L199" s="25"/>
    </row>
    <row r="200" spans="11:12" ht="14.25" customHeight="1">
      <c r="K200" s="25"/>
      <c r="L200" s="25"/>
    </row>
    <row r="201" spans="11:12" ht="14.25" customHeight="1">
      <c r="K201" s="25"/>
      <c r="L201" s="25"/>
    </row>
    <row r="202" spans="11:12" ht="14.25" customHeight="1">
      <c r="K202" s="25"/>
      <c r="L202" s="25"/>
    </row>
    <row r="203" spans="11:12" ht="14.25" customHeight="1">
      <c r="K203" s="25"/>
      <c r="L203" s="25"/>
    </row>
    <row r="204" spans="11:12" ht="14.25" customHeight="1">
      <c r="K204" s="25"/>
      <c r="L204" s="25"/>
    </row>
    <row r="205" spans="11:12" ht="14.25" customHeight="1">
      <c r="K205" s="25"/>
      <c r="L205" s="25"/>
    </row>
    <row r="206" spans="11:12" ht="14.25" customHeight="1">
      <c r="K206" s="25"/>
      <c r="L206" s="25"/>
    </row>
    <row r="207" spans="11:12" ht="14.25" customHeight="1">
      <c r="K207" s="25"/>
      <c r="L207" s="25"/>
    </row>
    <row r="208" spans="11:12" ht="14.25" customHeight="1">
      <c r="K208" s="25"/>
      <c r="L208" s="25"/>
    </row>
    <row r="209" spans="11:12" ht="14.25" customHeight="1">
      <c r="K209" s="25"/>
      <c r="L209" s="25"/>
    </row>
    <row r="210" spans="11:12" ht="14.25" customHeight="1">
      <c r="K210" s="25"/>
      <c r="L210" s="25"/>
    </row>
    <row r="211" spans="11:12" ht="14.25" customHeight="1">
      <c r="K211" s="25"/>
      <c r="L211" s="25"/>
    </row>
    <row r="212" spans="11:12" ht="14.25" customHeight="1">
      <c r="K212" s="25"/>
      <c r="L212" s="25"/>
    </row>
    <row r="213" spans="11:12" ht="14.25" customHeight="1">
      <c r="K213" s="25"/>
      <c r="L213" s="25"/>
    </row>
    <row r="214" spans="11:12" ht="14.25" customHeight="1">
      <c r="K214" s="25"/>
      <c r="L214" s="25"/>
    </row>
    <row r="215" spans="11:12" ht="14.25" customHeight="1">
      <c r="K215" s="25"/>
      <c r="L215" s="25"/>
    </row>
    <row r="216" spans="11:12" ht="14.25" customHeight="1">
      <c r="K216" s="25"/>
      <c r="L216" s="25"/>
    </row>
    <row r="217" spans="11:12" ht="14.25" customHeight="1">
      <c r="K217" s="25"/>
      <c r="L217" s="25"/>
    </row>
    <row r="218" spans="11:12" ht="14.25" customHeight="1">
      <c r="K218" s="25"/>
      <c r="L218" s="25"/>
    </row>
    <row r="219" spans="11:12" ht="14.25" customHeight="1">
      <c r="K219" s="25"/>
      <c r="L219" s="25"/>
    </row>
    <row r="220" spans="11:12" ht="14.25" customHeight="1">
      <c r="K220" s="25"/>
      <c r="L220" s="25"/>
    </row>
    <row r="221" spans="11:12" ht="14.25" customHeight="1">
      <c r="K221" s="25"/>
      <c r="L221" s="25"/>
    </row>
    <row r="222" spans="11:12" ht="14.25" customHeight="1">
      <c r="K222" s="25"/>
      <c r="L222" s="25"/>
    </row>
    <row r="223" spans="11:12" ht="14.25" customHeight="1">
      <c r="K223" s="25"/>
      <c r="L223" s="25"/>
    </row>
    <row r="224" spans="11:12" ht="14.25" customHeight="1">
      <c r="K224" s="25"/>
      <c r="L224" s="25"/>
    </row>
    <row r="225" spans="11:12" ht="14.25" customHeight="1">
      <c r="K225" s="25"/>
      <c r="L225" s="25"/>
    </row>
    <row r="226" spans="11:12" ht="14.25" customHeight="1">
      <c r="K226" s="25"/>
      <c r="L226" s="25"/>
    </row>
    <row r="227" spans="11:12" ht="14.25" customHeight="1">
      <c r="K227" s="25"/>
      <c r="L227" s="25"/>
    </row>
    <row r="228" spans="11:12" ht="14.25" customHeight="1">
      <c r="K228" s="25"/>
      <c r="L228" s="25"/>
    </row>
    <row r="229" spans="11:12" ht="14.25" customHeight="1">
      <c r="K229" s="25"/>
      <c r="L229" s="25"/>
    </row>
    <row r="230" spans="11:12" ht="14.25" customHeight="1">
      <c r="K230" s="25"/>
      <c r="L230" s="25"/>
    </row>
    <row r="231" spans="11:12" ht="14.25" customHeight="1">
      <c r="K231" s="25"/>
      <c r="L231" s="25"/>
    </row>
    <row r="232" spans="11:12" ht="14.25" customHeight="1">
      <c r="K232" s="25"/>
      <c r="L232" s="25"/>
    </row>
    <row r="233" spans="11:12" ht="14.25" customHeight="1">
      <c r="K233" s="25"/>
      <c r="L233" s="25"/>
    </row>
    <row r="234" spans="11:12" ht="14.25" customHeight="1">
      <c r="K234" s="25"/>
      <c r="L234" s="25"/>
    </row>
    <row r="235" spans="11:12" ht="14.25" customHeight="1">
      <c r="K235" s="25"/>
      <c r="L235" s="25"/>
    </row>
    <row r="236" spans="11:12" ht="14.25" customHeight="1">
      <c r="K236" s="25"/>
      <c r="L236" s="25"/>
    </row>
    <row r="237" spans="11:12" ht="14.25" customHeight="1">
      <c r="K237" s="25"/>
      <c r="L237" s="25"/>
    </row>
    <row r="238" spans="11:12" ht="14.25" customHeight="1">
      <c r="K238" s="25"/>
      <c r="L238" s="25"/>
    </row>
    <row r="239" spans="11:12" ht="14.25" customHeight="1">
      <c r="K239" s="25"/>
      <c r="L239" s="25"/>
    </row>
    <row r="240" spans="11:12" ht="14.25" customHeight="1">
      <c r="K240" s="25"/>
      <c r="L240" s="25"/>
    </row>
    <row r="241" spans="11:12" ht="14.25" customHeight="1">
      <c r="K241" s="25"/>
      <c r="L241" s="25"/>
    </row>
    <row r="242" spans="11:12" ht="14.25" customHeight="1">
      <c r="K242" s="25"/>
      <c r="L242" s="25"/>
    </row>
    <row r="243" spans="11:12" ht="14.25" customHeight="1">
      <c r="K243" s="25"/>
      <c r="L243" s="25"/>
    </row>
    <row r="244" spans="11:12" ht="14.25" customHeight="1">
      <c r="K244" s="25"/>
      <c r="L244" s="25"/>
    </row>
    <row r="245" spans="11:12" ht="14.25" customHeight="1">
      <c r="K245" s="25"/>
      <c r="L245" s="25"/>
    </row>
    <row r="246" spans="11:12" ht="14.25" customHeight="1">
      <c r="K246" s="25"/>
      <c r="L246" s="25"/>
    </row>
    <row r="247" spans="11:12" ht="14.25" customHeight="1">
      <c r="K247" s="25"/>
      <c r="L247" s="25"/>
    </row>
    <row r="248" spans="11:12" ht="14.25" customHeight="1">
      <c r="K248" s="25"/>
      <c r="L248" s="25"/>
    </row>
    <row r="249" spans="11:12" ht="14.25" customHeight="1">
      <c r="K249" s="25"/>
      <c r="L249" s="25"/>
    </row>
    <row r="250" spans="11:12" ht="14.25" customHeight="1">
      <c r="K250" s="25"/>
      <c r="L250" s="25"/>
    </row>
    <row r="251" spans="11:12" ht="14.25" customHeight="1">
      <c r="K251" s="25"/>
      <c r="L251" s="25"/>
    </row>
    <row r="252" spans="11:12" ht="14.25" customHeight="1">
      <c r="K252" s="25"/>
      <c r="L252" s="25"/>
    </row>
    <row r="253" spans="11:12" ht="14.25" customHeight="1">
      <c r="K253" s="25"/>
      <c r="L253" s="25"/>
    </row>
    <row r="254" spans="11:12" ht="14.25" customHeight="1">
      <c r="K254" s="25"/>
      <c r="L254" s="25"/>
    </row>
    <row r="255" spans="11:12" ht="14.25" customHeight="1">
      <c r="K255" s="25"/>
      <c r="L255" s="25"/>
    </row>
    <row r="256" spans="11:12" ht="14.25" customHeight="1">
      <c r="K256" s="25"/>
      <c r="L256" s="25"/>
    </row>
    <row r="257" spans="11:12" ht="14.25" customHeight="1">
      <c r="K257" s="25"/>
      <c r="L257" s="25"/>
    </row>
    <row r="258" spans="11:12" ht="14.25" customHeight="1">
      <c r="K258" s="25"/>
      <c r="L258" s="25"/>
    </row>
    <row r="259" spans="11:12" ht="14.25" customHeight="1">
      <c r="K259" s="25"/>
      <c r="L259" s="25"/>
    </row>
    <row r="260" spans="11:12" ht="14.25" customHeight="1">
      <c r="K260" s="25"/>
      <c r="L260" s="25"/>
    </row>
    <row r="261" spans="11:12" ht="14.25" customHeight="1">
      <c r="K261" s="25"/>
      <c r="L261" s="25"/>
    </row>
    <row r="262" spans="11:12" ht="14.25" customHeight="1">
      <c r="K262" s="25"/>
      <c r="L262" s="25"/>
    </row>
    <row r="263" spans="11:12" ht="14.25" customHeight="1">
      <c r="K263" s="25"/>
      <c r="L263" s="25"/>
    </row>
    <row r="264" spans="11:12" ht="14.25" customHeight="1">
      <c r="K264" s="25"/>
      <c r="L264" s="25"/>
    </row>
    <row r="265" spans="11:12" ht="14.25" customHeight="1">
      <c r="K265" s="25"/>
      <c r="L265" s="25"/>
    </row>
    <row r="266" spans="11:12" ht="14.25" customHeight="1">
      <c r="K266" s="25"/>
      <c r="L266" s="25"/>
    </row>
    <row r="267" spans="11:12" ht="14.25" customHeight="1">
      <c r="K267" s="25"/>
      <c r="L267" s="25"/>
    </row>
    <row r="268" spans="11:12" ht="14.25" customHeight="1">
      <c r="K268" s="25"/>
      <c r="L268" s="25"/>
    </row>
    <row r="269" spans="11:12" ht="14.25" customHeight="1">
      <c r="K269" s="25"/>
      <c r="L269" s="25"/>
    </row>
    <row r="270" spans="11:12" ht="14.25" customHeight="1">
      <c r="K270" s="25"/>
      <c r="L270" s="25"/>
    </row>
    <row r="271" spans="11:12" ht="14.25" customHeight="1">
      <c r="K271" s="25"/>
      <c r="L271" s="25"/>
    </row>
    <row r="272" spans="11:12" ht="14.25" customHeight="1">
      <c r="K272" s="25"/>
      <c r="L272" s="25"/>
    </row>
    <row r="273" spans="11:12" ht="14.25" customHeight="1">
      <c r="K273" s="25"/>
      <c r="L273" s="25"/>
    </row>
    <row r="274" spans="11:12" ht="14.25" customHeight="1">
      <c r="K274" s="25"/>
      <c r="L274" s="25"/>
    </row>
    <row r="275" spans="11:12" ht="14.25" customHeight="1">
      <c r="K275" s="25"/>
      <c r="L275" s="25"/>
    </row>
    <row r="276" spans="11:12" ht="14.25" customHeight="1">
      <c r="K276" s="25"/>
      <c r="L276" s="25"/>
    </row>
    <row r="277" spans="11:12" ht="14.25" customHeight="1">
      <c r="K277" s="25"/>
      <c r="L277" s="25"/>
    </row>
    <row r="278" spans="11:12" ht="14.25" customHeight="1">
      <c r="K278" s="25"/>
      <c r="L278" s="25"/>
    </row>
    <row r="279" spans="11:12" ht="14.25" customHeight="1">
      <c r="K279" s="25"/>
      <c r="L279" s="25"/>
    </row>
    <row r="280" spans="11:12" ht="14.25" customHeight="1">
      <c r="K280" s="25"/>
      <c r="L280" s="25"/>
    </row>
    <row r="281" spans="11:12" ht="14.25" customHeight="1">
      <c r="K281" s="25"/>
      <c r="L281" s="25"/>
    </row>
    <row r="282" spans="11:12" ht="14.25" customHeight="1">
      <c r="K282" s="25"/>
      <c r="L282" s="25"/>
    </row>
    <row r="283" spans="11:12" ht="14.25" customHeight="1">
      <c r="K283" s="25"/>
      <c r="L283" s="25"/>
    </row>
    <row r="284" spans="11:12" ht="14.25" customHeight="1">
      <c r="K284" s="25"/>
      <c r="L284" s="25"/>
    </row>
    <row r="285" spans="11:12" ht="14.25" customHeight="1">
      <c r="K285" s="25"/>
      <c r="L285" s="25"/>
    </row>
    <row r="286" spans="11:12" ht="14.25" customHeight="1">
      <c r="K286" s="25"/>
      <c r="L286" s="25"/>
    </row>
    <row r="287" spans="11:12" ht="14.25" customHeight="1">
      <c r="K287" s="25"/>
      <c r="L287" s="25"/>
    </row>
    <row r="288" spans="11:12" ht="14.25" customHeight="1">
      <c r="K288" s="25"/>
      <c r="L288" s="25"/>
    </row>
    <row r="289" spans="11:12" ht="14.25" customHeight="1">
      <c r="K289" s="25"/>
      <c r="L289" s="25"/>
    </row>
    <row r="290" spans="11:12" ht="14.25" customHeight="1">
      <c r="K290" s="25"/>
      <c r="L290" s="25"/>
    </row>
    <row r="291" spans="11:12" ht="14.25" customHeight="1">
      <c r="K291" s="25"/>
      <c r="L291" s="25"/>
    </row>
    <row r="292" spans="11:12" ht="14.25" customHeight="1">
      <c r="K292" s="25"/>
      <c r="L292" s="25"/>
    </row>
    <row r="293" spans="11:12" ht="14.25" customHeight="1">
      <c r="K293" s="25"/>
      <c r="L293" s="25"/>
    </row>
    <row r="294" spans="11:12" ht="14.25" customHeight="1">
      <c r="K294" s="25"/>
      <c r="L294" s="25"/>
    </row>
    <row r="295" spans="11:12" ht="14.25" customHeight="1">
      <c r="K295" s="25"/>
      <c r="L295" s="25"/>
    </row>
    <row r="296" spans="11:12" ht="14.25" customHeight="1">
      <c r="K296" s="25"/>
      <c r="L296" s="25"/>
    </row>
    <row r="297" spans="11:12" ht="14.25" customHeight="1">
      <c r="K297" s="25"/>
      <c r="L297" s="25"/>
    </row>
    <row r="298" spans="11:12" ht="14.25" customHeight="1">
      <c r="K298" s="25"/>
      <c r="L298" s="25"/>
    </row>
    <row r="299" spans="11:12" ht="14.25" customHeight="1">
      <c r="K299" s="25"/>
      <c r="L299" s="25"/>
    </row>
    <row r="300" spans="11:12" ht="14.25" customHeight="1">
      <c r="K300" s="25"/>
      <c r="L300" s="25"/>
    </row>
    <row r="301" spans="11:12" ht="14.25" customHeight="1">
      <c r="K301" s="25"/>
      <c r="L301" s="25"/>
    </row>
    <row r="302" spans="11:12" ht="14.25" customHeight="1">
      <c r="K302" s="25"/>
      <c r="L302" s="25"/>
    </row>
    <row r="303" spans="11:12" ht="14.25" customHeight="1">
      <c r="K303" s="25"/>
      <c r="L303" s="25"/>
    </row>
    <row r="304" spans="11:12" ht="14.25" customHeight="1">
      <c r="K304" s="25"/>
      <c r="L304" s="25"/>
    </row>
    <row r="305" spans="11:12" ht="14.25" customHeight="1">
      <c r="K305" s="25"/>
      <c r="L305" s="25"/>
    </row>
    <row r="306" spans="11:12" ht="14.25" customHeight="1">
      <c r="K306" s="25"/>
      <c r="L306" s="25"/>
    </row>
    <row r="307" spans="11:12" ht="14.25" customHeight="1">
      <c r="K307" s="25"/>
      <c r="L307" s="25"/>
    </row>
    <row r="308" spans="11:12" ht="14.25" customHeight="1">
      <c r="K308" s="25"/>
      <c r="L308" s="25"/>
    </row>
    <row r="309" spans="11:12" ht="14.25" customHeight="1">
      <c r="K309" s="25"/>
      <c r="L309" s="25"/>
    </row>
    <row r="310" spans="11:12" ht="14.25" customHeight="1">
      <c r="K310" s="25"/>
      <c r="L310" s="25"/>
    </row>
    <row r="311" spans="11:12" ht="14.25" customHeight="1">
      <c r="K311" s="25"/>
      <c r="L311" s="25"/>
    </row>
    <row r="312" spans="11:12" ht="14.25" customHeight="1">
      <c r="K312" s="25"/>
      <c r="L312" s="25"/>
    </row>
    <row r="313" spans="11:12" ht="14.25" customHeight="1">
      <c r="K313" s="25"/>
      <c r="L313" s="25"/>
    </row>
    <row r="314" spans="11:12" ht="14.25" customHeight="1">
      <c r="K314" s="25"/>
      <c r="L314" s="25"/>
    </row>
    <row r="315" spans="11:12" ht="14.25" customHeight="1">
      <c r="K315" s="25"/>
      <c r="L315" s="25"/>
    </row>
    <row r="316" spans="11:12" ht="14.25" customHeight="1">
      <c r="K316" s="25"/>
      <c r="L316" s="25"/>
    </row>
    <row r="317" spans="11:12" ht="14.25" customHeight="1">
      <c r="K317" s="25"/>
      <c r="L317" s="25"/>
    </row>
    <row r="318" spans="11:12" ht="14.25" customHeight="1">
      <c r="K318" s="25"/>
      <c r="L318" s="25"/>
    </row>
    <row r="319" spans="11:12" ht="14.25" customHeight="1">
      <c r="K319" s="25"/>
      <c r="L319" s="25"/>
    </row>
    <row r="320" spans="11:12" ht="14.25" customHeight="1">
      <c r="K320" s="25"/>
      <c r="L320" s="25"/>
    </row>
    <row r="321" spans="11:12" ht="14.25" customHeight="1">
      <c r="K321" s="25"/>
      <c r="L321" s="25"/>
    </row>
    <row r="322" spans="11:12" ht="14.25" customHeight="1">
      <c r="K322" s="25"/>
      <c r="L322" s="25"/>
    </row>
    <row r="323" spans="11:12" ht="14.25" customHeight="1">
      <c r="K323" s="25"/>
      <c r="L323" s="25"/>
    </row>
    <row r="324" spans="11:12" ht="14.25" customHeight="1">
      <c r="K324" s="25"/>
      <c r="L324" s="25"/>
    </row>
    <row r="325" spans="11:12" ht="14.25" customHeight="1">
      <c r="K325" s="25"/>
      <c r="L325" s="25"/>
    </row>
    <row r="326" spans="11:12" ht="14.25" customHeight="1">
      <c r="K326" s="25"/>
      <c r="L326" s="25"/>
    </row>
    <row r="327" spans="11:12" ht="14.25" customHeight="1">
      <c r="K327" s="25"/>
      <c r="L327" s="25"/>
    </row>
    <row r="328" spans="11:12" ht="14.25" customHeight="1">
      <c r="K328" s="25"/>
      <c r="L328" s="25"/>
    </row>
    <row r="329" spans="11:12" ht="14.25" customHeight="1">
      <c r="K329" s="25"/>
      <c r="L329" s="25"/>
    </row>
    <row r="330" spans="11:12" ht="14.25" customHeight="1">
      <c r="K330" s="25"/>
      <c r="L330" s="25"/>
    </row>
    <row r="331" spans="11:12" ht="14.25" customHeight="1">
      <c r="K331" s="25"/>
      <c r="L331" s="25"/>
    </row>
    <row r="332" spans="11:12" ht="14.25" customHeight="1">
      <c r="K332" s="25"/>
      <c r="L332" s="25"/>
    </row>
    <row r="333" spans="11:12" ht="14.25" customHeight="1">
      <c r="K333" s="25"/>
      <c r="L333" s="25"/>
    </row>
    <row r="334" spans="11:12" ht="14.25" customHeight="1">
      <c r="K334" s="25"/>
      <c r="L334" s="25"/>
    </row>
    <row r="335" spans="11:12" ht="14.25" customHeight="1">
      <c r="K335" s="25"/>
      <c r="L335" s="25"/>
    </row>
    <row r="336" spans="11:12" ht="14.25" customHeight="1">
      <c r="K336" s="25"/>
      <c r="L336" s="25"/>
    </row>
    <row r="337" spans="11:12" ht="14.25" customHeight="1">
      <c r="K337" s="25"/>
      <c r="L337" s="25"/>
    </row>
    <row r="338" spans="11:12" ht="14.25" customHeight="1">
      <c r="K338" s="25"/>
      <c r="L338" s="25"/>
    </row>
    <row r="339" spans="11:12" ht="14.25" customHeight="1">
      <c r="K339" s="25"/>
      <c r="L339" s="25"/>
    </row>
    <row r="340" spans="11:12" ht="14.25" customHeight="1">
      <c r="K340" s="25"/>
      <c r="L340" s="25"/>
    </row>
    <row r="341" spans="11:12" ht="14.25" customHeight="1">
      <c r="K341" s="25"/>
      <c r="L341" s="25"/>
    </row>
    <row r="342" spans="11:12" ht="14.25" customHeight="1">
      <c r="K342" s="25"/>
      <c r="L342" s="25"/>
    </row>
    <row r="343" spans="11:12" ht="14.25" customHeight="1">
      <c r="K343" s="25"/>
      <c r="L343" s="25"/>
    </row>
    <row r="344" spans="11:12" ht="14.25" customHeight="1">
      <c r="K344" s="25"/>
      <c r="L344" s="25"/>
    </row>
    <row r="345" spans="11:12" ht="14.25" customHeight="1">
      <c r="K345" s="25"/>
      <c r="L345" s="25"/>
    </row>
    <row r="346" spans="11:12" ht="14.25" customHeight="1">
      <c r="K346" s="25"/>
      <c r="L346" s="25"/>
    </row>
    <row r="347" spans="11:12" ht="14.25" customHeight="1">
      <c r="K347" s="25"/>
      <c r="L347" s="25"/>
    </row>
    <row r="348" spans="11:12" ht="14.25" customHeight="1">
      <c r="K348" s="25"/>
      <c r="L348" s="25"/>
    </row>
    <row r="349" spans="11:12" ht="14.25" customHeight="1">
      <c r="K349" s="25"/>
      <c r="L349" s="25"/>
    </row>
    <row r="350" spans="11:12" ht="14.25" customHeight="1">
      <c r="K350" s="25"/>
      <c r="L350" s="25"/>
    </row>
    <row r="351" spans="11:12" ht="14.25" customHeight="1">
      <c r="K351" s="25"/>
      <c r="L351" s="25"/>
    </row>
    <row r="352" spans="11:12" ht="14.25" customHeight="1">
      <c r="K352" s="25"/>
      <c r="L352" s="25"/>
    </row>
    <row r="353" spans="11:12" ht="14.25" customHeight="1">
      <c r="K353" s="25"/>
      <c r="L353" s="25"/>
    </row>
    <row r="354" spans="11:12" ht="14.25" customHeight="1">
      <c r="K354" s="25"/>
      <c r="L354" s="25"/>
    </row>
    <row r="355" spans="11:12" ht="14.25" customHeight="1">
      <c r="K355" s="25"/>
      <c r="L355" s="25"/>
    </row>
    <row r="356" spans="11:12" ht="14.25" customHeight="1">
      <c r="K356" s="25"/>
      <c r="L356" s="25"/>
    </row>
    <row r="357" spans="11:12" ht="14.25" customHeight="1">
      <c r="K357" s="25"/>
      <c r="L357" s="25"/>
    </row>
    <row r="358" spans="11:12" ht="14.25" customHeight="1">
      <c r="K358" s="25"/>
      <c r="L358" s="25"/>
    </row>
    <row r="359" spans="11:12" ht="14.25" customHeight="1">
      <c r="K359" s="25"/>
      <c r="L359" s="25"/>
    </row>
    <row r="360" spans="11:12" ht="14.25" customHeight="1">
      <c r="K360" s="25"/>
      <c r="L360" s="25"/>
    </row>
    <row r="361" spans="11:12" ht="14.25" customHeight="1">
      <c r="K361" s="25"/>
      <c r="L361" s="25"/>
    </row>
    <row r="362" spans="11:12" ht="14.25" customHeight="1">
      <c r="K362" s="25"/>
      <c r="L362" s="25"/>
    </row>
    <row r="363" spans="11:12" ht="14.25" customHeight="1">
      <c r="K363" s="25"/>
      <c r="L363" s="25"/>
    </row>
    <row r="364" spans="11:12" ht="14.25" customHeight="1">
      <c r="K364" s="25"/>
      <c r="L364" s="25"/>
    </row>
    <row r="365" spans="11:12" ht="14.25" customHeight="1">
      <c r="K365" s="25"/>
      <c r="L365" s="25"/>
    </row>
    <row r="366" spans="11:12" ht="14.25" customHeight="1">
      <c r="K366" s="25"/>
      <c r="L366" s="25"/>
    </row>
    <row r="367" spans="11:12" ht="14.25" customHeight="1">
      <c r="K367" s="25"/>
      <c r="L367" s="25"/>
    </row>
    <row r="368" spans="11:12" ht="14.25" customHeight="1">
      <c r="K368" s="25"/>
      <c r="L368" s="25"/>
    </row>
    <row r="369" spans="11:12" ht="14.25" customHeight="1">
      <c r="K369" s="25"/>
      <c r="L369" s="25"/>
    </row>
    <row r="370" spans="11:12" ht="14.25" customHeight="1">
      <c r="K370" s="25"/>
      <c r="L370" s="25"/>
    </row>
    <row r="371" spans="11:12" ht="14.25" customHeight="1">
      <c r="K371" s="25"/>
      <c r="L371" s="25"/>
    </row>
    <row r="372" spans="11:12" ht="14.25" customHeight="1">
      <c r="K372" s="25"/>
      <c r="L372" s="25"/>
    </row>
    <row r="373" spans="11:12" ht="14.25" customHeight="1">
      <c r="K373" s="25"/>
      <c r="L373" s="25"/>
    </row>
    <row r="374" spans="11:12" ht="14.25" customHeight="1">
      <c r="K374" s="25"/>
      <c r="L374" s="25"/>
    </row>
    <row r="375" spans="11:12" ht="14.25" customHeight="1">
      <c r="K375" s="25"/>
      <c r="L375" s="25"/>
    </row>
    <row r="376" spans="11:12" ht="14.25" customHeight="1">
      <c r="K376" s="25"/>
      <c r="L376" s="25"/>
    </row>
    <row r="377" spans="11:12" ht="14.25" customHeight="1">
      <c r="K377" s="25"/>
      <c r="L377" s="25"/>
    </row>
    <row r="378" spans="11:12" ht="14.25" customHeight="1">
      <c r="K378" s="25"/>
      <c r="L378" s="25"/>
    </row>
    <row r="379" spans="11:12" ht="14.25" customHeight="1">
      <c r="K379" s="25"/>
      <c r="L379" s="25"/>
    </row>
    <row r="380" spans="11:12" ht="14.25" customHeight="1">
      <c r="K380" s="25"/>
      <c r="L380" s="25"/>
    </row>
    <row r="381" spans="11:12" ht="14.25" customHeight="1">
      <c r="K381" s="25"/>
      <c r="L381" s="25"/>
    </row>
    <row r="382" spans="11:12" ht="14.25" customHeight="1">
      <c r="K382" s="25"/>
      <c r="L382" s="25"/>
    </row>
    <row r="383" spans="11:12" ht="14.25" customHeight="1">
      <c r="K383" s="25"/>
      <c r="L383" s="25"/>
    </row>
    <row r="384" spans="11:12" ht="14.25" customHeight="1">
      <c r="K384" s="25"/>
      <c r="L384" s="25"/>
    </row>
    <row r="385" spans="11:12" ht="14.25" customHeight="1">
      <c r="K385" s="25"/>
      <c r="L385" s="25"/>
    </row>
    <row r="386" spans="11:12" ht="14.25" customHeight="1">
      <c r="K386" s="25"/>
      <c r="L386" s="25"/>
    </row>
    <row r="387" spans="11:12" ht="14.25" customHeight="1">
      <c r="K387" s="25"/>
      <c r="L387" s="25"/>
    </row>
    <row r="388" spans="11:12" ht="14.25" customHeight="1">
      <c r="K388" s="25"/>
      <c r="L388" s="25"/>
    </row>
    <row r="389" spans="11:12" ht="14.25" customHeight="1">
      <c r="K389" s="25"/>
      <c r="L389" s="25"/>
    </row>
    <row r="390" spans="11:12" ht="14.25" customHeight="1">
      <c r="K390" s="25"/>
      <c r="L390" s="25"/>
    </row>
    <row r="391" spans="11:12" ht="14.25" customHeight="1">
      <c r="K391" s="25"/>
      <c r="L391" s="25"/>
    </row>
    <row r="392" spans="11:12" ht="14.25" customHeight="1">
      <c r="K392" s="25"/>
      <c r="L392" s="25"/>
    </row>
    <row r="393" spans="11:12" ht="14.25" customHeight="1">
      <c r="K393" s="25"/>
      <c r="L393" s="25"/>
    </row>
    <row r="394" spans="11:12" ht="14.25" customHeight="1">
      <c r="K394" s="25"/>
      <c r="L394" s="25"/>
    </row>
    <row r="395" spans="11:12" ht="14.25" customHeight="1">
      <c r="K395" s="25"/>
      <c r="L395" s="25"/>
    </row>
    <row r="396" spans="11:12" ht="14.25" customHeight="1">
      <c r="K396" s="25"/>
      <c r="L396" s="25"/>
    </row>
    <row r="397" spans="11:12" ht="14.25" customHeight="1">
      <c r="K397" s="25"/>
      <c r="L397" s="25"/>
    </row>
    <row r="398" spans="11:12" ht="14.25" customHeight="1">
      <c r="K398" s="25"/>
      <c r="L398" s="25"/>
    </row>
    <row r="399" spans="11:12" ht="14.25" customHeight="1">
      <c r="K399" s="25"/>
      <c r="L399" s="25"/>
    </row>
    <row r="400" spans="11:12" ht="14.25" customHeight="1">
      <c r="K400" s="25"/>
      <c r="L400" s="25"/>
    </row>
    <row r="401" spans="11:12" ht="14.25" customHeight="1">
      <c r="K401" s="25"/>
      <c r="L401" s="25"/>
    </row>
    <row r="402" spans="11:12" ht="14.25" customHeight="1">
      <c r="K402" s="25"/>
      <c r="L402" s="25"/>
    </row>
    <row r="403" spans="11:12" ht="14.25" customHeight="1">
      <c r="K403" s="25"/>
      <c r="L403" s="25"/>
    </row>
    <row r="404" spans="11:12" ht="14.25" customHeight="1">
      <c r="K404" s="25"/>
      <c r="L404" s="25"/>
    </row>
    <row r="405" spans="11:12" ht="14.25" customHeight="1">
      <c r="K405" s="25"/>
      <c r="L405" s="25"/>
    </row>
    <row r="406" spans="11:12" ht="14.25" customHeight="1">
      <c r="K406" s="25"/>
      <c r="L406" s="25"/>
    </row>
    <row r="407" spans="11:12" ht="14.25" customHeight="1">
      <c r="K407" s="25"/>
      <c r="L407" s="25"/>
    </row>
    <row r="408" spans="11:12" ht="14.25" customHeight="1">
      <c r="K408" s="25"/>
      <c r="L408" s="25"/>
    </row>
    <row r="409" spans="11:12" ht="14.25" customHeight="1">
      <c r="K409" s="25"/>
      <c r="L409" s="25"/>
    </row>
    <row r="410" spans="11:12" ht="14.25" customHeight="1">
      <c r="K410" s="25"/>
      <c r="L410" s="25"/>
    </row>
    <row r="411" spans="11:12" ht="14.25" customHeight="1">
      <c r="K411" s="25"/>
      <c r="L411" s="25"/>
    </row>
    <row r="412" spans="11:12" ht="14.25" customHeight="1">
      <c r="K412" s="25"/>
      <c r="L412" s="25"/>
    </row>
    <row r="413" spans="11:12" ht="14.25" customHeight="1">
      <c r="K413" s="25"/>
      <c r="L413" s="25"/>
    </row>
    <row r="414" spans="11:12" ht="14.25" customHeight="1">
      <c r="K414" s="25"/>
      <c r="L414" s="25"/>
    </row>
    <row r="415" spans="11:12" ht="14.25" customHeight="1">
      <c r="K415" s="25"/>
      <c r="L415" s="25"/>
    </row>
    <row r="416" spans="11:12" ht="14.25" customHeight="1">
      <c r="K416" s="25"/>
      <c r="L416" s="25"/>
    </row>
    <row r="417" spans="11:12" ht="14.25" customHeight="1">
      <c r="K417" s="25"/>
      <c r="L417" s="25"/>
    </row>
    <row r="418" spans="11:12" ht="14.25" customHeight="1">
      <c r="K418" s="25"/>
      <c r="L418" s="25"/>
    </row>
    <row r="419" spans="11:12" ht="14.25" customHeight="1">
      <c r="K419" s="25"/>
      <c r="L419" s="25"/>
    </row>
    <row r="420" spans="11:12" ht="14.25" customHeight="1">
      <c r="K420" s="25"/>
      <c r="L420" s="25"/>
    </row>
    <row r="421" spans="11:12" ht="14.25" customHeight="1">
      <c r="K421" s="25"/>
      <c r="L421" s="25"/>
    </row>
    <row r="422" spans="11:12" ht="14.25" customHeight="1">
      <c r="K422" s="25"/>
      <c r="L422" s="25"/>
    </row>
    <row r="423" spans="11:12" ht="14.25" customHeight="1">
      <c r="K423" s="25"/>
      <c r="L423" s="25"/>
    </row>
    <row r="424" spans="11:12" ht="14.25" customHeight="1">
      <c r="K424" s="25"/>
      <c r="L424" s="25"/>
    </row>
    <row r="425" spans="11:12" ht="14.25" customHeight="1">
      <c r="K425" s="25"/>
      <c r="L425" s="25"/>
    </row>
    <row r="426" spans="11:12" ht="14.25" customHeight="1">
      <c r="K426" s="25"/>
      <c r="L426" s="25"/>
    </row>
    <row r="427" spans="11:12" ht="14.25" customHeight="1">
      <c r="K427" s="25"/>
      <c r="L427" s="25"/>
    </row>
    <row r="428" spans="11:12" ht="14.25" customHeight="1">
      <c r="K428" s="25"/>
      <c r="L428" s="25"/>
    </row>
    <row r="429" spans="11:12" ht="14.25" customHeight="1">
      <c r="K429" s="25"/>
      <c r="L429" s="25"/>
    </row>
    <row r="430" spans="11:12" ht="14.25" customHeight="1">
      <c r="K430" s="25"/>
      <c r="L430" s="25"/>
    </row>
    <row r="431" spans="11:12" ht="14.25" customHeight="1">
      <c r="K431" s="25"/>
      <c r="L431" s="25"/>
    </row>
    <row r="432" spans="11:12" ht="14.25" customHeight="1">
      <c r="K432" s="25"/>
      <c r="L432" s="25"/>
    </row>
    <row r="433" spans="11:12" ht="14.25" customHeight="1">
      <c r="K433" s="25"/>
      <c r="L433" s="25"/>
    </row>
    <row r="434" spans="11:12" ht="14.25" customHeight="1">
      <c r="K434" s="25"/>
      <c r="L434" s="25"/>
    </row>
    <row r="435" spans="11:12" ht="14.25" customHeight="1">
      <c r="K435" s="25"/>
      <c r="L435" s="25"/>
    </row>
    <row r="436" spans="11:12" ht="14.25" customHeight="1">
      <c r="K436" s="25"/>
      <c r="L436" s="25"/>
    </row>
    <row r="437" spans="11:12" ht="14.25" customHeight="1">
      <c r="K437" s="25"/>
      <c r="L437" s="25"/>
    </row>
    <row r="438" spans="11:12" ht="14.25" customHeight="1">
      <c r="K438" s="25"/>
      <c r="L438" s="25"/>
    </row>
    <row r="439" spans="11:12" ht="14.25" customHeight="1">
      <c r="K439" s="25"/>
      <c r="L439" s="25"/>
    </row>
    <row r="440" spans="11:12" ht="14.25" customHeight="1">
      <c r="K440" s="25"/>
      <c r="L440" s="25"/>
    </row>
    <row r="441" spans="11:12" ht="14.25" customHeight="1">
      <c r="K441" s="25"/>
      <c r="L441" s="25"/>
    </row>
    <row r="442" spans="11:12" ht="14.25" customHeight="1">
      <c r="K442" s="25"/>
      <c r="L442" s="25"/>
    </row>
    <row r="443" spans="11:12" ht="14.25" customHeight="1">
      <c r="K443" s="25"/>
      <c r="L443" s="25"/>
    </row>
    <row r="444" spans="11:12" ht="14.25" customHeight="1">
      <c r="K444" s="25"/>
      <c r="L444" s="25"/>
    </row>
    <row r="445" spans="11:12" ht="14.25" customHeight="1">
      <c r="K445" s="25"/>
      <c r="L445" s="25"/>
    </row>
    <row r="446" spans="11:12" ht="14.25" customHeight="1">
      <c r="K446" s="25"/>
      <c r="L446" s="25"/>
    </row>
    <row r="447" spans="11:12" ht="14.25" customHeight="1">
      <c r="K447" s="25"/>
      <c r="L447" s="25"/>
    </row>
    <row r="448" spans="11:12" ht="14.25" customHeight="1">
      <c r="K448" s="25"/>
      <c r="L448" s="25"/>
    </row>
    <row r="449" spans="11:12" ht="14.25" customHeight="1">
      <c r="K449" s="25"/>
      <c r="L449" s="25"/>
    </row>
    <row r="450" spans="11:12" ht="14.25" customHeight="1">
      <c r="K450" s="25"/>
      <c r="L450" s="25"/>
    </row>
    <row r="451" spans="11:12" ht="14.25" customHeight="1">
      <c r="K451" s="25"/>
      <c r="L451" s="25"/>
    </row>
    <row r="452" spans="11:12" ht="14.25" customHeight="1">
      <c r="K452" s="25"/>
      <c r="L452" s="25"/>
    </row>
    <row r="453" spans="11:12" ht="14.25" customHeight="1">
      <c r="K453" s="25"/>
      <c r="L453" s="25"/>
    </row>
    <row r="454" spans="11:12" ht="14.25" customHeight="1">
      <c r="K454" s="25"/>
      <c r="L454" s="25"/>
    </row>
    <row r="455" spans="11:12" ht="14.25" customHeight="1">
      <c r="K455" s="25"/>
      <c r="L455" s="25"/>
    </row>
    <row r="456" spans="11:12" ht="14.25" customHeight="1">
      <c r="K456" s="25"/>
      <c r="L456" s="25"/>
    </row>
    <row r="457" spans="11:12" ht="14.25" customHeight="1">
      <c r="K457" s="25"/>
      <c r="L457" s="25"/>
    </row>
    <row r="458" spans="11:12" ht="14.25" customHeight="1">
      <c r="K458" s="25"/>
      <c r="L458" s="25"/>
    </row>
    <row r="459" spans="11:12" ht="14.25" customHeight="1">
      <c r="K459" s="25"/>
      <c r="L459" s="25"/>
    </row>
    <row r="460" spans="11:12" ht="14.25" customHeight="1">
      <c r="K460" s="25"/>
      <c r="L460" s="25"/>
    </row>
    <row r="461" spans="11:12" ht="14.25" customHeight="1">
      <c r="K461" s="25"/>
      <c r="L461" s="25"/>
    </row>
    <row r="462" spans="11:12" ht="14.25" customHeight="1">
      <c r="K462" s="25"/>
      <c r="L462" s="25"/>
    </row>
    <row r="463" spans="11:12" ht="14.25" customHeight="1">
      <c r="K463" s="25"/>
      <c r="L463" s="25"/>
    </row>
    <row r="464" spans="11:12" ht="14.25" customHeight="1">
      <c r="K464" s="25"/>
      <c r="L464" s="25"/>
    </row>
    <row r="465" spans="11:12" ht="14.25" customHeight="1">
      <c r="K465" s="25"/>
      <c r="L465" s="25"/>
    </row>
    <row r="466" spans="11:12" ht="14.25" customHeight="1">
      <c r="K466" s="25"/>
      <c r="L466" s="25"/>
    </row>
    <row r="467" spans="11:12" ht="14.25" customHeight="1">
      <c r="K467" s="25"/>
      <c r="L467" s="25"/>
    </row>
    <row r="468" spans="11:12" ht="14.25" customHeight="1">
      <c r="K468" s="25"/>
      <c r="L468" s="25"/>
    </row>
    <row r="469" spans="11:12" ht="14.25" customHeight="1">
      <c r="K469" s="25"/>
      <c r="L469" s="25"/>
    </row>
    <row r="470" spans="11:12" ht="14.25" customHeight="1">
      <c r="K470" s="25"/>
      <c r="L470" s="25"/>
    </row>
    <row r="471" spans="11:12" ht="14.25" customHeight="1">
      <c r="K471" s="25"/>
      <c r="L471" s="25"/>
    </row>
    <row r="472" spans="11:12" ht="14.25" customHeight="1">
      <c r="K472" s="25"/>
      <c r="L472" s="25"/>
    </row>
    <row r="473" spans="11:12" ht="14.25" customHeight="1">
      <c r="K473" s="25"/>
      <c r="L473" s="25"/>
    </row>
    <row r="474" spans="11:12" ht="14.25" customHeight="1">
      <c r="K474" s="25"/>
      <c r="L474" s="25"/>
    </row>
    <row r="475" spans="11:12" ht="14.25" customHeight="1">
      <c r="K475" s="25"/>
      <c r="L475" s="25"/>
    </row>
    <row r="476" spans="11:12" ht="14.25" customHeight="1">
      <c r="K476" s="25"/>
      <c r="L476" s="25"/>
    </row>
    <row r="477" spans="11:12" ht="14.25" customHeight="1">
      <c r="K477" s="25"/>
      <c r="L477" s="25"/>
    </row>
    <row r="478" spans="11:12" ht="14.25" customHeight="1">
      <c r="K478" s="25"/>
      <c r="L478" s="25"/>
    </row>
    <row r="479" spans="11:12" ht="14.25" customHeight="1">
      <c r="K479" s="25"/>
      <c r="L479" s="25"/>
    </row>
    <row r="480" spans="11:12" ht="14.25" customHeight="1">
      <c r="K480" s="25"/>
      <c r="L480" s="25"/>
    </row>
    <row r="481" spans="11:12" ht="14.25" customHeight="1">
      <c r="K481" s="25"/>
      <c r="L481" s="25"/>
    </row>
    <row r="482" spans="11:12" ht="14.25" customHeight="1">
      <c r="K482" s="25"/>
      <c r="L482" s="25"/>
    </row>
    <row r="483" spans="11:12" ht="14.25" customHeight="1">
      <c r="K483" s="25"/>
      <c r="L483" s="25"/>
    </row>
    <row r="484" spans="11:12" ht="14.25" customHeight="1">
      <c r="K484" s="25"/>
      <c r="L484" s="25"/>
    </row>
    <row r="485" spans="11:12" ht="14.25" customHeight="1">
      <c r="K485" s="25"/>
      <c r="L485" s="25"/>
    </row>
    <row r="486" spans="11:12" ht="14.25" customHeight="1">
      <c r="K486" s="25"/>
      <c r="L486" s="25"/>
    </row>
    <row r="487" spans="11:12" ht="14.25" customHeight="1">
      <c r="K487" s="25"/>
      <c r="L487" s="25"/>
    </row>
    <row r="488" spans="11:12" ht="14.25" customHeight="1">
      <c r="K488" s="25"/>
      <c r="L488" s="25"/>
    </row>
    <row r="489" spans="11:12" ht="14.25" customHeight="1">
      <c r="K489" s="25"/>
      <c r="L489" s="25"/>
    </row>
    <row r="490" spans="11:12" ht="14.25" customHeight="1">
      <c r="K490" s="25"/>
      <c r="L490" s="25"/>
    </row>
    <row r="491" spans="11:12" ht="14.25" customHeight="1">
      <c r="K491" s="25"/>
      <c r="L491" s="25"/>
    </row>
    <row r="492" spans="11:12" ht="14.25" customHeight="1">
      <c r="K492" s="25"/>
      <c r="L492" s="25"/>
    </row>
    <row r="493" spans="11:12" ht="14.25" customHeight="1">
      <c r="K493" s="25"/>
      <c r="L493" s="25"/>
    </row>
    <row r="494" spans="11:12" ht="14.25" customHeight="1">
      <c r="K494" s="25"/>
      <c r="L494" s="25"/>
    </row>
    <row r="495" spans="11:12" ht="14.25" customHeight="1">
      <c r="K495" s="25"/>
      <c r="L495" s="25"/>
    </row>
    <row r="496" spans="11:12" ht="14.25" customHeight="1">
      <c r="K496" s="25"/>
      <c r="L496" s="25"/>
    </row>
    <row r="497" spans="11:12" ht="14.25" customHeight="1">
      <c r="K497" s="25"/>
      <c r="L497" s="25"/>
    </row>
    <row r="498" spans="11:12" ht="14.25" customHeight="1">
      <c r="K498" s="25"/>
      <c r="L498" s="25"/>
    </row>
    <row r="499" spans="11:12" ht="14.25" customHeight="1">
      <c r="K499" s="25"/>
      <c r="L499" s="25"/>
    </row>
    <row r="500" spans="11:12" ht="14.25" customHeight="1">
      <c r="K500" s="25"/>
      <c r="L500" s="25"/>
    </row>
    <row r="501" spans="11:12" ht="14.25" customHeight="1">
      <c r="K501" s="25"/>
      <c r="L501" s="25"/>
    </row>
    <row r="502" spans="11:12" ht="14.25" customHeight="1">
      <c r="K502" s="25"/>
      <c r="L502" s="25"/>
    </row>
    <row r="503" spans="11:12" ht="14.25" customHeight="1">
      <c r="K503" s="25"/>
      <c r="L503" s="25"/>
    </row>
    <row r="504" spans="11:12" ht="14.25" customHeight="1">
      <c r="K504" s="25"/>
      <c r="L504" s="25"/>
    </row>
    <row r="505" spans="11:12" ht="14.25" customHeight="1">
      <c r="K505" s="25"/>
      <c r="L505" s="25"/>
    </row>
    <row r="506" spans="11:12" ht="14.25" customHeight="1">
      <c r="K506" s="25"/>
      <c r="L506" s="25"/>
    </row>
    <row r="507" spans="11:12" ht="14.25" customHeight="1">
      <c r="K507" s="25"/>
      <c r="L507" s="25"/>
    </row>
    <row r="508" spans="11:12" ht="14.25" customHeight="1">
      <c r="K508" s="25"/>
      <c r="L508" s="25"/>
    </row>
    <row r="509" spans="11:12" ht="14.25" customHeight="1">
      <c r="K509" s="25"/>
      <c r="L509" s="25"/>
    </row>
    <row r="510" spans="11:12" ht="14.25" customHeight="1">
      <c r="K510" s="25"/>
      <c r="L510" s="25"/>
    </row>
    <row r="511" spans="11:12" ht="14.25" customHeight="1">
      <c r="K511" s="25"/>
      <c r="L511" s="25"/>
    </row>
    <row r="512" spans="11:12" ht="14.25" customHeight="1">
      <c r="K512" s="25"/>
      <c r="L512" s="25"/>
    </row>
    <row r="513" spans="11:12" ht="14.25" customHeight="1">
      <c r="K513" s="25"/>
      <c r="L513" s="25"/>
    </row>
    <row r="514" spans="11:12" ht="14.25" customHeight="1">
      <c r="K514" s="25"/>
      <c r="L514" s="25"/>
    </row>
    <row r="515" spans="11:12" ht="14.25" customHeight="1">
      <c r="K515" s="25"/>
      <c r="L515" s="25"/>
    </row>
    <row r="516" spans="11:12" ht="14.25" customHeight="1">
      <c r="K516" s="25"/>
      <c r="L516" s="25"/>
    </row>
    <row r="517" spans="11:12" ht="14.25" customHeight="1">
      <c r="K517" s="25"/>
      <c r="L517" s="25"/>
    </row>
    <row r="518" spans="11:12" ht="14.25" customHeight="1">
      <c r="K518" s="25"/>
      <c r="L518" s="25"/>
    </row>
    <row r="519" spans="11:12" ht="14.25" customHeight="1">
      <c r="K519" s="25"/>
      <c r="L519" s="25"/>
    </row>
    <row r="520" spans="11:12" ht="14.25" customHeight="1">
      <c r="K520" s="25"/>
      <c r="L520" s="25"/>
    </row>
    <row r="521" spans="11:12" ht="14.25" customHeight="1">
      <c r="K521" s="25"/>
      <c r="L521" s="25"/>
    </row>
    <row r="522" spans="11:12" ht="14.25" customHeight="1">
      <c r="K522" s="25"/>
      <c r="L522" s="25"/>
    </row>
    <row r="523" spans="11:12" ht="14.25" customHeight="1">
      <c r="K523" s="25"/>
      <c r="L523" s="25"/>
    </row>
    <row r="524" spans="11:12" ht="14.25" customHeight="1">
      <c r="K524" s="25"/>
      <c r="L524" s="25"/>
    </row>
    <row r="525" spans="11:12" ht="14.25" customHeight="1">
      <c r="K525" s="25"/>
      <c r="L525" s="25"/>
    </row>
    <row r="526" spans="11:12" ht="14.25" customHeight="1">
      <c r="K526" s="25"/>
      <c r="L526" s="25"/>
    </row>
    <row r="527" spans="11:12" ht="14.25" customHeight="1">
      <c r="K527" s="25"/>
      <c r="L527" s="25"/>
    </row>
    <row r="528" spans="11:12" ht="14.25" customHeight="1">
      <c r="K528" s="25"/>
      <c r="L528" s="25"/>
    </row>
    <row r="529" spans="11:12" ht="14.25" customHeight="1">
      <c r="K529" s="25"/>
      <c r="L529" s="25"/>
    </row>
    <row r="530" spans="11:12" ht="14.25" customHeight="1">
      <c r="K530" s="25"/>
      <c r="L530" s="25"/>
    </row>
    <row r="531" spans="11:12" ht="14.25" customHeight="1">
      <c r="K531" s="25"/>
      <c r="L531" s="25"/>
    </row>
    <row r="532" spans="11:12" ht="14.25" customHeight="1">
      <c r="K532" s="25"/>
      <c r="L532" s="25"/>
    </row>
    <row r="533" spans="11:12" ht="14.25" customHeight="1">
      <c r="K533" s="25"/>
      <c r="L533" s="25"/>
    </row>
    <row r="534" spans="11:12" ht="14.25" customHeight="1">
      <c r="K534" s="25"/>
      <c r="L534" s="25"/>
    </row>
    <row r="535" spans="11:12" ht="14.25" customHeight="1">
      <c r="K535" s="25"/>
      <c r="L535" s="25"/>
    </row>
    <row r="536" spans="11:12" ht="14.25" customHeight="1">
      <c r="K536" s="25"/>
      <c r="L536" s="25"/>
    </row>
    <row r="537" spans="11:12" ht="14.25" customHeight="1">
      <c r="K537" s="25"/>
      <c r="L537" s="25"/>
    </row>
    <row r="538" spans="11:12" ht="14.25" customHeight="1">
      <c r="K538" s="25"/>
      <c r="L538" s="25"/>
    </row>
    <row r="539" spans="11:12" ht="14.25" customHeight="1">
      <c r="K539" s="25"/>
      <c r="L539" s="25"/>
    </row>
    <row r="540" spans="11:12" ht="14.25" customHeight="1">
      <c r="K540" s="25"/>
      <c r="L540" s="25"/>
    </row>
    <row r="541" spans="11:12" ht="14.25" customHeight="1">
      <c r="K541" s="25"/>
      <c r="L541" s="25"/>
    </row>
    <row r="542" spans="11:12" ht="14.25" customHeight="1">
      <c r="K542" s="25"/>
      <c r="L542" s="25"/>
    </row>
    <row r="543" spans="11:12" ht="14.25" customHeight="1">
      <c r="K543" s="25"/>
      <c r="L543" s="25"/>
    </row>
    <row r="544" spans="11:12" ht="14.25" customHeight="1">
      <c r="K544" s="25"/>
      <c r="L544" s="25"/>
    </row>
    <row r="545" spans="11:12" ht="14.25" customHeight="1">
      <c r="K545" s="25"/>
      <c r="L545" s="25"/>
    </row>
    <row r="546" spans="11:12" ht="14.25" customHeight="1">
      <c r="K546" s="25"/>
      <c r="L546" s="25"/>
    </row>
    <row r="547" spans="11:12" ht="14.25" customHeight="1">
      <c r="K547" s="25"/>
      <c r="L547" s="25"/>
    </row>
    <row r="548" spans="11:12" ht="14.25" customHeight="1">
      <c r="K548" s="25"/>
      <c r="L548" s="25"/>
    </row>
    <row r="549" spans="11:12" ht="14.25" customHeight="1">
      <c r="K549" s="25"/>
      <c r="L549" s="25"/>
    </row>
    <row r="550" spans="11:12" ht="14.25" customHeight="1">
      <c r="K550" s="25"/>
      <c r="L550" s="25"/>
    </row>
    <row r="551" spans="11:12" ht="14.25" customHeight="1">
      <c r="K551" s="25"/>
      <c r="L551" s="25"/>
    </row>
    <row r="552" spans="11:12" ht="14.25" customHeight="1">
      <c r="K552" s="25"/>
      <c r="L552" s="25"/>
    </row>
    <row r="553" spans="11:12" ht="14.25" customHeight="1">
      <c r="K553" s="25"/>
      <c r="L553" s="25"/>
    </row>
    <row r="554" spans="11:12" ht="14.25" customHeight="1">
      <c r="K554" s="25"/>
      <c r="L554" s="25"/>
    </row>
    <row r="555" spans="11:12" ht="14.25" customHeight="1">
      <c r="K555" s="25"/>
      <c r="L555" s="25"/>
    </row>
    <row r="556" spans="11:12" ht="14.25" customHeight="1">
      <c r="K556" s="25"/>
      <c r="L556" s="25"/>
    </row>
    <row r="557" spans="11:12" ht="14.25" customHeight="1">
      <c r="K557" s="25"/>
      <c r="L557" s="25"/>
    </row>
    <row r="558" spans="11:12" ht="14.25" customHeight="1">
      <c r="K558" s="25"/>
      <c r="L558" s="25"/>
    </row>
    <row r="559" spans="11:12" ht="14.25" customHeight="1">
      <c r="K559" s="25"/>
      <c r="L559" s="25"/>
    </row>
    <row r="560" spans="11:12" ht="14.25" customHeight="1">
      <c r="K560" s="25"/>
      <c r="L560" s="25"/>
    </row>
    <row r="561" spans="11:12" ht="14.25" customHeight="1">
      <c r="K561" s="25"/>
      <c r="L561" s="25"/>
    </row>
    <row r="562" spans="11:12" ht="14.25" customHeight="1">
      <c r="K562" s="25"/>
      <c r="L562" s="25"/>
    </row>
    <row r="563" spans="11:12" ht="14.25" customHeight="1">
      <c r="K563" s="25"/>
      <c r="L563" s="25"/>
    </row>
    <row r="564" spans="11:12" ht="14.25" customHeight="1">
      <c r="K564" s="25"/>
      <c r="L564" s="25"/>
    </row>
    <row r="565" spans="11:12" ht="14.25" customHeight="1">
      <c r="K565" s="25"/>
      <c r="L565" s="25"/>
    </row>
    <row r="566" spans="11:12" ht="14.25" customHeight="1">
      <c r="K566" s="25"/>
      <c r="L566" s="25"/>
    </row>
    <row r="567" spans="11:12" ht="14.25" customHeight="1">
      <c r="K567" s="25"/>
      <c r="L567" s="25"/>
    </row>
    <row r="568" spans="11:12" ht="14.25" customHeight="1">
      <c r="K568" s="25"/>
      <c r="L568" s="25"/>
    </row>
    <row r="569" spans="11:12" ht="14.25" customHeight="1">
      <c r="K569" s="25"/>
      <c r="L569" s="25"/>
    </row>
    <row r="570" spans="11:12" ht="14.25" customHeight="1">
      <c r="K570" s="25"/>
      <c r="L570" s="25"/>
    </row>
    <row r="571" spans="11:12" ht="14.25" customHeight="1">
      <c r="K571" s="25"/>
      <c r="L571" s="25"/>
    </row>
    <row r="572" spans="11:12" ht="14.25" customHeight="1">
      <c r="K572" s="25"/>
      <c r="L572" s="25"/>
    </row>
    <row r="573" spans="11:12" ht="14.25" customHeight="1">
      <c r="K573" s="25"/>
      <c r="L573" s="25"/>
    </row>
    <row r="574" spans="11:12" ht="14.25" customHeight="1">
      <c r="K574" s="25"/>
      <c r="L574" s="25"/>
    </row>
    <row r="575" spans="11:12" ht="14.25" customHeight="1">
      <c r="K575" s="25"/>
      <c r="L575" s="25"/>
    </row>
    <row r="576" spans="11:12" ht="14.25" customHeight="1">
      <c r="K576" s="25"/>
      <c r="L576" s="25"/>
    </row>
    <row r="577" spans="11:12" ht="14.25" customHeight="1">
      <c r="K577" s="25"/>
      <c r="L577" s="25"/>
    </row>
    <row r="578" spans="11:12" ht="14.25" customHeight="1">
      <c r="K578" s="25"/>
      <c r="L578" s="25"/>
    </row>
    <row r="579" spans="11:12" ht="14.25" customHeight="1">
      <c r="K579" s="25"/>
      <c r="L579" s="25"/>
    </row>
    <row r="580" spans="11:12" ht="14.25" customHeight="1">
      <c r="K580" s="25"/>
      <c r="L580" s="25"/>
    </row>
    <row r="581" spans="11:12" ht="14.25" customHeight="1">
      <c r="K581" s="25"/>
      <c r="L581" s="25"/>
    </row>
    <row r="582" spans="11:12" ht="14.25" customHeight="1">
      <c r="K582" s="25"/>
      <c r="L582" s="25"/>
    </row>
    <row r="583" spans="11:12" ht="14.25" customHeight="1">
      <c r="K583" s="25"/>
      <c r="L583" s="25"/>
    </row>
    <row r="584" spans="11:12" ht="14.25" customHeight="1">
      <c r="K584" s="25"/>
      <c r="L584" s="25"/>
    </row>
    <row r="585" spans="11:12" ht="14.25" customHeight="1">
      <c r="K585" s="25"/>
      <c r="L585" s="25"/>
    </row>
    <row r="586" spans="11:12" ht="14.25" customHeight="1">
      <c r="K586" s="25"/>
      <c r="L586" s="25"/>
    </row>
    <row r="587" spans="11:12" ht="14.25" customHeight="1">
      <c r="K587" s="25"/>
      <c r="L587" s="25"/>
    </row>
    <row r="588" spans="11:12" ht="14.25" customHeight="1">
      <c r="K588" s="25"/>
      <c r="L588" s="25"/>
    </row>
    <row r="589" spans="11:12" ht="14.25" customHeight="1">
      <c r="K589" s="25"/>
      <c r="L589" s="25"/>
    </row>
    <row r="590" spans="11:12" ht="14.25" customHeight="1">
      <c r="K590" s="25"/>
      <c r="L590" s="25"/>
    </row>
    <row r="591" spans="11:12" ht="14.25" customHeight="1">
      <c r="K591" s="25"/>
      <c r="L591" s="25"/>
    </row>
    <row r="592" spans="11:12" ht="14.25" customHeight="1">
      <c r="K592" s="25"/>
      <c r="L592" s="25"/>
    </row>
    <row r="593" spans="11:12" ht="14.25" customHeight="1">
      <c r="K593" s="25"/>
      <c r="L593" s="25"/>
    </row>
    <row r="594" spans="11:12" ht="14.25" customHeight="1">
      <c r="K594" s="25"/>
      <c r="L594" s="25"/>
    </row>
    <row r="595" spans="11:12" ht="14.25" customHeight="1">
      <c r="K595" s="25"/>
      <c r="L595" s="25"/>
    </row>
    <row r="596" spans="11:12" ht="14.25" customHeight="1">
      <c r="K596" s="25"/>
      <c r="L596" s="25"/>
    </row>
    <row r="597" spans="11:12" ht="14.25" customHeight="1">
      <c r="K597" s="25"/>
      <c r="L597" s="25"/>
    </row>
    <row r="598" spans="11:12" ht="14.25" customHeight="1">
      <c r="K598" s="25"/>
      <c r="L598" s="25"/>
    </row>
    <row r="599" spans="11:12" ht="14.25" customHeight="1">
      <c r="K599" s="25"/>
      <c r="L599" s="25"/>
    </row>
    <row r="600" spans="11:12" ht="14.25" customHeight="1">
      <c r="K600" s="25"/>
      <c r="L600" s="25"/>
    </row>
    <row r="601" spans="11:12" ht="14.25" customHeight="1">
      <c r="K601" s="25"/>
      <c r="L601" s="25"/>
    </row>
    <row r="602" spans="11:12" ht="14.25" customHeight="1">
      <c r="K602" s="25"/>
      <c r="L602" s="25"/>
    </row>
    <row r="603" spans="11:12" ht="14.25" customHeight="1">
      <c r="K603" s="25"/>
      <c r="L603" s="25"/>
    </row>
    <row r="604" spans="11:12" ht="14.25" customHeight="1">
      <c r="K604" s="25"/>
      <c r="L604" s="25"/>
    </row>
    <row r="605" spans="11:12" ht="14.25" customHeight="1">
      <c r="K605" s="25"/>
      <c r="L605" s="25"/>
    </row>
    <row r="606" spans="11:12" ht="14.25" customHeight="1">
      <c r="K606" s="25"/>
      <c r="L606" s="25"/>
    </row>
    <row r="607" spans="11:12" ht="14.25" customHeight="1">
      <c r="K607" s="25"/>
      <c r="L607" s="25"/>
    </row>
    <row r="608" spans="11:12" ht="14.25" customHeight="1">
      <c r="K608" s="25"/>
      <c r="L608" s="25"/>
    </row>
    <row r="609" spans="11:12" ht="14.25" customHeight="1">
      <c r="K609" s="25"/>
      <c r="L609" s="25"/>
    </row>
    <row r="610" spans="11:12" ht="14.25" customHeight="1">
      <c r="K610" s="25"/>
      <c r="L610" s="25"/>
    </row>
    <row r="611" spans="11:12" ht="14.25" customHeight="1">
      <c r="K611" s="25"/>
      <c r="L611" s="25"/>
    </row>
    <row r="612" spans="11:12" ht="14.25" customHeight="1">
      <c r="K612" s="25"/>
      <c r="L612" s="25"/>
    </row>
    <row r="613" spans="11:12" ht="14.25" customHeight="1">
      <c r="K613" s="25"/>
      <c r="L613" s="25"/>
    </row>
    <row r="614" spans="11:12" ht="14.25" customHeight="1">
      <c r="K614" s="25"/>
      <c r="L614" s="25"/>
    </row>
    <row r="615" spans="11:12" ht="14.25" customHeight="1">
      <c r="K615" s="25"/>
      <c r="L615" s="25"/>
    </row>
    <row r="616" spans="11:12" ht="14.25" customHeight="1">
      <c r="K616" s="25"/>
      <c r="L616" s="25"/>
    </row>
    <row r="617" spans="11:12" ht="14.25" customHeight="1">
      <c r="K617" s="25"/>
      <c r="L617" s="25"/>
    </row>
    <row r="618" spans="11:12" ht="14.25" customHeight="1">
      <c r="K618" s="25"/>
      <c r="L618" s="25"/>
    </row>
    <row r="619" spans="11:12" ht="14.25" customHeight="1">
      <c r="K619" s="25"/>
      <c r="L619" s="25"/>
    </row>
    <row r="620" spans="11:12" ht="14.25" customHeight="1">
      <c r="K620" s="25"/>
      <c r="L620" s="25"/>
    </row>
    <row r="621" spans="11:12" ht="14.25" customHeight="1">
      <c r="K621" s="25"/>
      <c r="L621" s="25"/>
    </row>
    <row r="622" spans="11:12" ht="14.25" customHeight="1">
      <c r="K622" s="25"/>
      <c r="L622" s="25"/>
    </row>
    <row r="623" spans="11:12" ht="14.25" customHeight="1">
      <c r="K623" s="25"/>
      <c r="L623" s="25"/>
    </row>
    <row r="624" spans="11:12" ht="14.25" customHeight="1">
      <c r="K624" s="25"/>
      <c r="L624" s="25"/>
    </row>
    <row r="625" spans="11:12" ht="14.25" customHeight="1">
      <c r="K625" s="25"/>
      <c r="L625" s="25"/>
    </row>
    <row r="626" spans="11:12" ht="14.25" customHeight="1">
      <c r="K626" s="25"/>
      <c r="L626" s="25"/>
    </row>
    <row r="627" spans="11:12" ht="14.25" customHeight="1">
      <c r="K627" s="25"/>
      <c r="L627" s="25"/>
    </row>
    <row r="628" spans="11:12" ht="14.25" customHeight="1">
      <c r="K628" s="25"/>
      <c r="L628" s="25"/>
    </row>
    <row r="629" spans="11:12" ht="14.25" customHeight="1">
      <c r="K629" s="25"/>
      <c r="L629" s="25"/>
    </row>
    <row r="630" spans="11:12" ht="14.25" customHeight="1">
      <c r="K630" s="25"/>
      <c r="L630" s="25"/>
    </row>
    <row r="631" spans="11:12" ht="14.25" customHeight="1">
      <c r="K631" s="25"/>
      <c r="L631" s="25"/>
    </row>
    <row r="632" spans="11:12" ht="14.25" customHeight="1">
      <c r="K632" s="25"/>
      <c r="L632" s="25"/>
    </row>
    <row r="633" spans="11:12" ht="14.25" customHeight="1">
      <c r="K633" s="25"/>
      <c r="L633" s="25"/>
    </row>
    <row r="634" spans="11:12" ht="14.25" customHeight="1">
      <c r="K634" s="25"/>
      <c r="L634" s="25"/>
    </row>
    <row r="635" spans="11:12" ht="14.25" customHeight="1">
      <c r="K635" s="25"/>
      <c r="L635" s="25"/>
    </row>
    <row r="636" spans="11:12" ht="14.25" customHeight="1">
      <c r="K636" s="25"/>
      <c r="L636" s="25"/>
    </row>
    <row r="637" spans="11:12" ht="14.25" customHeight="1">
      <c r="K637" s="25"/>
      <c r="L637" s="25"/>
    </row>
    <row r="638" spans="11:12" ht="14.25" customHeight="1">
      <c r="K638" s="25"/>
      <c r="L638" s="25"/>
    </row>
    <row r="639" spans="11:12" ht="14.25" customHeight="1">
      <c r="K639" s="25"/>
      <c r="L639" s="25"/>
    </row>
    <row r="640" spans="11:12" ht="14.25" customHeight="1">
      <c r="K640" s="25"/>
      <c r="L640" s="25"/>
    </row>
    <row r="641" spans="11:12" ht="14.25" customHeight="1">
      <c r="K641" s="25"/>
      <c r="L641" s="25"/>
    </row>
    <row r="642" spans="11:12" ht="14.25" customHeight="1">
      <c r="K642" s="25"/>
      <c r="L642" s="25"/>
    </row>
    <row r="643" spans="11:12" ht="14.25" customHeight="1">
      <c r="K643" s="25"/>
      <c r="L643" s="25"/>
    </row>
    <row r="644" spans="11:12" ht="14.25" customHeight="1">
      <c r="K644" s="25"/>
      <c r="L644" s="25"/>
    </row>
    <row r="645" spans="11:12" ht="14.25" customHeight="1">
      <c r="K645" s="25"/>
      <c r="L645" s="25"/>
    </row>
    <row r="646" spans="11:12" ht="14.25" customHeight="1">
      <c r="K646" s="25"/>
      <c r="L646" s="25"/>
    </row>
    <row r="647" spans="11:12" ht="14.25" customHeight="1">
      <c r="K647" s="25"/>
      <c r="L647" s="25"/>
    </row>
    <row r="648" spans="11:12" ht="14.25" customHeight="1">
      <c r="K648" s="25"/>
      <c r="L648" s="25"/>
    </row>
    <row r="649" spans="11:12" ht="14.25" customHeight="1">
      <c r="K649" s="25"/>
      <c r="L649" s="25"/>
    </row>
    <row r="650" spans="11:12" ht="14.25" customHeight="1">
      <c r="K650" s="25"/>
      <c r="L650" s="25"/>
    </row>
    <row r="651" spans="11:12" ht="14.25" customHeight="1">
      <c r="K651" s="25"/>
      <c r="L651" s="25"/>
    </row>
    <row r="652" spans="11:12" ht="14.25" customHeight="1">
      <c r="K652" s="25"/>
      <c r="L652" s="25"/>
    </row>
    <row r="653" spans="11:12" ht="14.25" customHeight="1">
      <c r="K653" s="25"/>
      <c r="L653" s="25"/>
    </row>
    <row r="654" spans="11:12" ht="14.25" customHeight="1">
      <c r="K654" s="25"/>
      <c r="L654" s="25"/>
    </row>
    <row r="655" spans="11:12" ht="14.25" customHeight="1">
      <c r="K655" s="25"/>
      <c r="L655" s="25"/>
    </row>
    <row r="656" spans="11:12" ht="14.25" customHeight="1">
      <c r="K656" s="25"/>
      <c r="L656" s="25"/>
    </row>
    <row r="657" spans="11:12" ht="14.25" customHeight="1">
      <c r="K657" s="25"/>
      <c r="L657" s="25"/>
    </row>
    <row r="658" spans="11:12" ht="14.25" customHeight="1">
      <c r="K658" s="25"/>
      <c r="L658" s="25"/>
    </row>
    <row r="659" spans="11:12" ht="14.25" customHeight="1">
      <c r="K659" s="25"/>
      <c r="L659" s="25"/>
    </row>
    <row r="660" spans="11:12" ht="14.25" customHeight="1">
      <c r="K660" s="25"/>
      <c r="L660" s="25"/>
    </row>
    <row r="661" spans="11:12" ht="14.25" customHeight="1">
      <c r="K661" s="25"/>
      <c r="L661" s="25"/>
    </row>
    <row r="662" spans="11:12" ht="14.25" customHeight="1">
      <c r="K662" s="25"/>
      <c r="L662" s="25"/>
    </row>
    <row r="663" spans="11:12" ht="14.25" customHeight="1">
      <c r="K663" s="25"/>
      <c r="L663" s="25"/>
    </row>
    <row r="664" spans="11:12" ht="14.25" customHeight="1">
      <c r="K664" s="25"/>
      <c r="L664" s="25"/>
    </row>
    <row r="665" spans="11:12" ht="14.25" customHeight="1">
      <c r="K665" s="25"/>
      <c r="L665" s="25"/>
    </row>
    <row r="666" spans="11:12" ht="14.25" customHeight="1">
      <c r="K666" s="25"/>
      <c r="L666" s="25"/>
    </row>
    <row r="667" spans="11:12" ht="14.25" customHeight="1">
      <c r="K667" s="25"/>
      <c r="L667" s="25"/>
    </row>
    <row r="668" spans="11:12" ht="14.25" customHeight="1">
      <c r="K668" s="25"/>
      <c r="L668" s="25"/>
    </row>
    <row r="669" spans="11:12" ht="14.25" customHeight="1">
      <c r="K669" s="25"/>
      <c r="L669" s="25"/>
    </row>
    <row r="670" spans="11:12" ht="14.25" customHeight="1">
      <c r="K670" s="25"/>
      <c r="L670" s="25"/>
    </row>
    <row r="671" spans="11:12" ht="14.25" customHeight="1">
      <c r="K671" s="25"/>
      <c r="L671" s="25"/>
    </row>
    <row r="672" spans="11:12" ht="14.25" customHeight="1">
      <c r="K672" s="25"/>
      <c r="L672" s="25"/>
    </row>
    <row r="673" spans="11:12" ht="14.25" customHeight="1">
      <c r="K673" s="25"/>
      <c r="L673" s="25"/>
    </row>
    <row r="674" spans="11:12" ht="14.25" customHeight="1">
      <c r="K674" s="25"/>
      <c r="L674" s="25"/>
    </row>
    <row r="675" spans="11:12" ht="14.25" customHeight="1">
      <c r="K675" s="25"/>
      <c r="L675" s="25"/>
    </row>
    <row r="676" spans="11:12" ht="14.25" customHeight="1">
      <c r="K676" s="25"/>
      <c r="L676" s="25"/>
    </row>
    <row r="677" spans="11:12" ht="14.25" customHeight="1">
      <c r="K677" s="25"/>
      <c r="L677" s="25"/>
    </row>
    <row r="678" spans="11:12" ht="14.25" customHeight="1">
      <c r="K678" s="25"/>
      <c r="L678" s="25"/>
    </row>
    <row r="679" spans="11:12" ht="14.25" customHeight="1">
      <c r="K679" s="25"/>
      <c r="L679" s="25"/>
    </row>
    <row r="680" spans="11:12" ht="14.25" customHeight="1">
      <c r="K680" s="25"/>
      <c r="L680" s="25"/>
    </row>
    <row r="681" spans="11:12" ht="14.25" customHeight="1">
      <c r="K681" s="25"/>
      <c r="L681" s="25"/>
    </row>
    <row r="682" spans="11:12" ht="14.25" customHeight="1">
      <c r="K682" s="25"/>
      <c r="L682" s="25"/>
    </row>
    <row r="683" spans="11:12" ht="14.25" customHeight="1">
      <c r="K683" s="25"/>
      <c r="L683" s="25"/>
    </row>
    <row r="684" spans="11:12" ht="14.25" customHeight="1">
      <c r="K684" s="25"/>
      <c r="L684" s="25"/>
    </row>
    <row r="685" spans="11:12" ht="14.25" customHeight="1">
      <c r="K685" s="25"/>
      <c r="L685" s="25"/>
    </row>
    <row r="686" spans="11:12" ht="14.25" customHeight="1">
      <c r="K686" s="25"/>
      <c r="L686" s="25"/>
    </row>
    <row r="687" spans="11:12" ht="14.25" customHeight="1">
      <c r="K687" s="25"/>
      <c r="L687" s="25"/>
    </row>
    <row r="688" spans="11:12" ht="14.25" customHeight="1">
      <c r="K688" s="25"/>
      <c r="L688" s="25"/>
    </row>
    <row r="689" spans="11:12" ht="14.25" customHeight="1">
      <c r="K689" s="25"/>
      <c r="L689" s="25"/>
    </row>
    <row r="690" spans="11:12" ht="14.25" customHeight="1">
      <c r="K690" s="25"/>
      <c r="L690" s="25"/>
    </row>
    <row r="691" spans="11:12" ht="14.25" customHeight="1">
      <c r="K691" s="25"/>
      <c r="L691" s="25"/>
    </row>
    <row r="692" spans="11:12" ht="14.25" customHeight="1">
      <c r="K692" s="25"/>
      <c r="L692" s="25"/>
    </row>
    <row r="693" spans="11:12" ht="14.25" customHeight="1">
      <c r="K693" s="25"/>
      <c r="L693" s="25"/>
    </row>
    <row r="694" spans="11:12" ht="14.25" customHeight="1">
      <c r="K694" s="25"/>
      <c r="L694" s="25"/>
    </row>
    <row r="695" spans="11:12" ht="14.25" customHeight="1">
      <c r="K695" s="25"/>
      <c r="L695" s="25"/>
    </row>
    <row r="696" spans="11:12" ht="14.25" customHeight="1">
      <c r="K696" s="25"/>
      <c r="L696" s="25"/>
    </row>
    <row r="697" spans="11:12" ht="14.25" customHeight="1">
      <c r="K697" s="25"/>
      <c r="L697" s="25"/>
    </row>
    <row r="698" spans="11:12" ht="14.25" customHeight="1">
      <c r="K698" s="25"/>
      <c r="L698" s="25"/>
    </row>
    <row r="699" spans="11:12" ht="14.25" customHeight="1">
      <c r="K699" s="25"/>
      <c r="L699" s="25"/>
    </row>
    <row r="700" spans="11:12" ht="14.25" customHeight="1">
      <c r="K700" s="25"/>
      <c r="L700" s="25"/>
    </row>
    <row r="701" spans="11:12" ht="14.25" customHeight="1">
      <c r="K701" s="25"/>
      <c r="L701" s="25"/>
    </row>
    <row r="702" spans="11:12" ht="14.25" customHeight="1">
      <c r="K702" s="25"/>
      <c r="L702" s="25"/>
    </row>
    <row r="703" spans="11:12" ht="14.25" customHeight="1">
      <c r="K703" s="25"/>
      <c r="L703" s="25"/>
    </row>
    <row r="704" spans="11:12" ht="14.25" customHeight="1">
      <c r="K704" s="25"/>
      <c r="L704" s="25"/>
    </row>
    <row r="705" spans="11:12" ht="14.25" customHeight="1">
      <c r="K705" s="25"/>
      <c r="L705" s="25"/>
    </row>
    <row r="706" spans="11:12" ht="14.25" customHeight="1">
      <c r="K706" s="25"/>
      <c r="L706" s="25"/>
    </row>
    <row r="707" spans="11:12" ht="14.25" customHeight="1">
      <c r="K707" s="25"/>
      <c r="L707" s="25"/>
    </row>
    <row r="708" spans="11:12" ht="14.25" customHeight="1">
      <c r="K708" s="25"/>
      <c r="L708" s="25"/>
    </row>
    <row r="709" spans="11:12" ht="14.25" customHeight="1">
      <c r="K709" s="25"/>
      <c r="L709" s="25"/>
    </row>
    <row r="710" spans="11:12" ht="14.25" customHeight="1">
      <c r="K710" s="25"/>
      <c r="L710" s="25"/>
    </row>
    <row r="711" spans="11:12" ht="14.25" customHeight="1">
      <c r="K711" s="25"/>
      <c r="L711" s="25"/>
    </row>
    <row r="712" spans="11:12" ht="14.25" customHeight="1">
      <c r="K712" s="25"/>
      <c r="L712" s="25"/>
    </row>
    <row r="713" spans="11:12" ht="14.25" customHeight="1">
      <c r="K713" s="25"/>
      <c r="L713" s="25"/>
    </row>
    <row r="714" spans="11:12" ht="14.25" customHeight="1">
      <c r="K714" s="25"/>
      <c r="L714" s="25"/>
    </row>
    <row r="715" spans="11:12" ht="14.25" customHeight="1">
      <c r="K715" s="25"/>
      <c r="L715" s="25"/>
    </row>
    <row r="716" spans="11:12" ht="14.25" customHeight="1">
      <c r="K716" s="25"/>
      <c r="L716" s="25"/>
    </row>
    <row r="717" spans="11:12" ht="14.25" customHeight="1">
      <c r="K717" s="25"/>
      <c r="L717" s="25"/>
    </row>
    <row r="718" spans="11:12" ht="14.25" customHeight="1">
      <c r="K718" s="25"/>
      <c r="L718" s="25"/>
    </row>
    <row r="719" spans="11:12" ht="14.25" customHeight="1">
      <c r="K719" s="25"/>
      <c r="L719" s="25"/>
    </row>
    <row r="720" spans="11:12" ht="14.25" customHeight="1">
      <c r="K720" s="25"/>
      <c r="L720" s="25"/>
    </row>
    <row r="721" spans="11:12" ht="14.25" customHeight="1">
      <c r="K721" s="25"/>
      <c r="L721" s="25"/>
    </row>
    <row r="722" spans="11:12" ht="14.25" customHeight="1">
      <c r="K722" s="25"/>
      <c r="L722" s="25"/>
    </row>
    <row r="723" spans="11:12" ht="14.25" customHeight="1">
      <c r="K723" s="25"/>
      <c r="L723" s="25"/>
    </row>
    <row r="724" spans="11:12" ht="14.25" customHeight="1">
      <c r="K724" s="25"/>
      <c r="L724" s="25"/>
    </row>
    <row r="725" spans="11:12" ht="14.25" customHeight="1">
      <c r="K725" s="25"/>
      <c r="L725" s="25"/>
    </row>
    <row r="726" spans="11:12" ht="14.25" customHeight="1">
      <c r="K726" s="25"/>
      <c r="L726" s="25"/>
    </row>
    <row r="727" spans="11:12" ht="14.25" customHeight="1">
      <c r="K727" s="25"/>
      <c r="L727" s="25"/>
    </row>
    <row r="728" spans="11:12" ht="14.25" customHeight="1">
      <c r="K728" s="25"/>
      <c r="L728" s="25"/>
    </row>
    <row r="729" spans="11:12" ht="14.25" customHeight="1">
      <c r="K729" s="25"/>
      <c r="L729" s="25"/>
    </row>
    <row r="730" spans="11:12" ht="14.25" customHeight="1">
      <c r="K730" s="25"/>
      <c r="L730" s="25"/>
    </row>
    <row r="731" spans="11:12" ht="14.25" customHeight="1">
      <c r="K731" s="25"/>
      <c r="L731" s="25"/>
    </row>
    <row r="732" spans="11:12" ht="14.25" customHeight="1">
      <c r="K732" s="25"/>
      <c r="L732" s="25"/>
    </row>
    <row r="733" spans="11:12" ht="14.25" customHeight="1">
      <c r="K733" s="25"/>
      <c r="L733" s="25"/>
    </row>
    <row r="734" spans="11:12" ht="14.25" customHeight="1">
      <c r="K734" s="25"/>
      <c r="L734" s="25"/>
    </row>
    <row r="735" spans="11:12" ht="14.25" customHeight="1">
      <c r="K735" s="25"/>
      <c r="L735" s="25"/>
    </row>
    <row r="736" spans="11:12" ht="14.25" customHeight="1">
      <c r="K736" s="25"/>
      <c r="L736" s="25"/>
    </row>
    <row r="737" spans="11:12" ht="14.25" customHeight="1">
      <c r="K737" s="25"/>
      <c r="L737" s="25"/>
    </row>
    <row r="738" spans="11:12" ht="14.25" customHeight="1">
      <c r="K738" s="25"/>
      <c r="L738" s="25"/>
    </row>
    <row r="739" spans="11:12" ht="14.25" customHeight="1">
      <c r="K739" s="25"/>
      <c r="L739" s="25"/>
    </row>
    <row r="740" spans="11:12" ht="14.25" customHeight="1">
      <c r="K740" s="25"/>
      <c r="L740" s="25"/>
    </row>
    <row r="741" spans="11:12" ht="14.25" customHeight="1">
      <c r="K741" s="25"/>
      <c r="L741" s="25"/>
    </row>
    <row r="742" spans="11:12" ht="14.25" customHeight="1">
      <c r="K742" s="25"/>
      <c r="L742" s="25"/>
    </row>
    <row r="743" spans="11:12" ht="14.25" customHeight="1">
      <c r="K743" s="25"/>
      <c r="L743" s="25"/>
    </row>
    <row r="744" spans="11:12" ht="14.25" customHeight="1">
      <c r="K744" s="25"/>
      <c r="L744" s="25"/>
    </row>
    <row r="745" spans="11:12" ht="14.25" customHeight="1">
      <c r="K745" s="25"/>
      <c r="L745" s="25"/>
    </row>
    <row r="746" spans="11:12" ht="14.25" customHeight="1">
      <c r="K746" s="25"/>
      <c r="L746" s="25"/>
    </row>
    <row r="747" spans="11:12" ht="14.25" customHeight="1">
      <c r="K747" s="25"/>
      <c r="L747" s="25"/>
    </row>
    <row r="748" spans="11:12" ht="14.25" customHeight="1">
      <c r="K748" s="25"/>
      <c r="L748" s="25"/>
    </row>
    <row r="749" spans="11:12" ht="14.25" customHeight="1">
      <c r="K749" s="25"/>
      <c r="L749" s="25"/>
    </row>
    <row r="750" spans="11:12" ht="14.25" customHeight="1">
      <c r="K750" s="25"/>
      <c r="L750" s="25"/>
    </row>
    <row r="751" spans="11:12" ht="14.25" customHeight="1">
      <c r="K751" s="25"/>
      <c r="L751" s="25"/>
    </row>
    <row r="752" spans="11:12" ht="14.25" customHeight="1">
      <c r="K752" s="25"/>
      <c r="L752" s="25"/>
    </row>
    <row r="753" spans="11:12" ht="14.25" customHeight="1">
      <c r="K753" s="25"/>
      <c r="L753" s="25"/>
    </row>
    <row r="754" spans="11:12" ht="14.25" customHeight="1">
      <c r="K754" s="25"/>
      <c r="L754" s="25"/>
    </row>
    <row r="755" spans="11:12" ht="14.25" customHeight="1">
      <c r="K755" s="25"/>
      <c r="L755" s="25"/>
    </row>
    <row r="756" spans="11:12" ht="14.25" customHeight="1">
      <c r="K756" s="25"/>
      <c r="L756" s="25"/>
    </row>
    <row r="757" spans="11:12" ht="14.25" customHeight="1">
      <c r="K757" s="25"/>
      <c r="L757" s="25"/>
    </row>
    <row r="758" spans="11:12" ht="14.25" customHeight="1">
      <c r="K758" s="25"/>
      <c r="L758" s="25"/>
    </row>
    <row r="759" spans="11:12" ht="14.25" customHeight="1">
      <c r="K759" s="25"/>
      <c r="L759" s="25"/>
    </row>
    <row r="760" spans="11:12" ht="14.25" customHeight="1">
      <c r="K760" s="25"/>
      <c r="L760" s="25"/>
    </row>
    <row r="761" spans="11:12" ht="14.25" customHeight="1">
      <c r="K761" s="25"/>
      <c r="L761" s="25"/>
    </row>
    <row r="762" spans="11:12" ht="14.25" customHeight="1">
      <c r="K762" s="25"/>
      <c r="L762" s="25"/>
    </row>
    <row r="763" spans="11:12" ht="14.25" customHeight="1">
      <c r="K763" s="25"/>
      <c r="L763" s="25"/>
    </row>
    <row r="764" spans="11:12" ht="14.25" customHeight="1">
      <c r="K764" s="25"/>
      <c r="L764" s="25"/>
    </row>
    <row r="765" spans="11:12" ht="14.25" customHeight="1">
      <c r="K765" s="25"/>
      <c r="L765" s="25"/>
    </row>
    <row r="766" spans="11:12" ht="14.25" customHeight="1">
      <c r="K766" s="25"/>
      <c r="L766" s="25"/>
    </row>
    <row r="767" spans="11:12" ht="14.25" customHeight="1">
      <c r="K767" s="25"/>
      <c r="L767" s="25"/>
    </row>
    <row r="768" spans="11:12" ht="14.25" customHeight="1">
      <c r="K768" s="25"/>
      <c r="L768" s="25"/>
    </row>
    <row r="769" spans="11:12" ht="14.25" customHeight="1">
      <c r="K769" s="25"/>
      <c r="L769" s="25"/>
    </row>
    <row r="770" spans="11:12" ht="14.25" customHeight="1">
      <c r="K770" s="25"/>
      <c r="L770" s="25"/>
    </row>
    <row r="771" spans="11:12" ht="14.25" customHeight="1">
      <c r="K771" s="25"/>
      <c r="L771" s="25"/>
    </row>
    <row r="772" spans="11:12" ht="14.25" customHeight="1">
      <c r="K772" s="25"/>
      <c r="L772" s="25"/>
    </row>
    <row r="773" spans="11:12" ht="14.25" customHeight="1">
      <c r="K773" s="25"/>
      <c r="L773" s="25"/>
    </row>
    <row r="774" spans="11:12" ht="14.25" customHeight="1">
      <c r="K774" s="25"/>
      <c r="L774" s="25"/>
    </row>
    <row r="775" spans="11:12" ht="14.25" customHeight="1">
      <c r="K775" s="25"/>
      <c r="L775" s="25"/>
    </row>
    <row r="776" spans="11:12" ht="14.25" customHeight="1">
      <c r="K776" s="25"/>
      <c r="L776" s="25"/>
    </row>
    <row r="777" spans="11:12" ht="14.25" customHeight="1">
      <c r="K777" s="25"/>
      <c r="L777" s="25"/>
    </row>
    <row r="778" spans="11:12" ht="14.25" customHeight="1">
      <c r="K778" s="25"/>
      <c r="L778" s="25"/>
    </row>
    <row r="779" spans="11:12" ht="14.25" customHeight="1">
      <c r="K779" s="25"/>
      <c r="L779" s="25"/>
    </row>
    <row r="780" spans="11:12" ht="14.25" customHeight="1">
      <c r="K780" s="25"/>
      <c r="L780" s="25"/>
    </row>
    <row r="781" spans="11:12" ht="14.25" customHeight="1">
      <c r="K781" s="25"/>
      <c r="L781" s="25"/>
    </row>
    <row r="782" spans="11:12" ht="14.25" customHeight="1">
      <c r="K782" s="25"/>
      <c r="L782" s="25"/>
    </row>
    <row r="783" spans="11:12" ht="14.25" customHeight="1">
      <c r="K783" s="25"/>
      <c r="L783" s="25"/>
    </row>
    <row r="784" spans="11:12" ht="14.25" customHeight="1">
      <c r="K784" s="25"/>
      <c r="L784" s="25"/>
    </row>
    <row r="785" spans="11:12" ht="14.25" customHeight="1">
      <c r="K785" s="25"/>
      <c r="L785" s="25"/>
    </row>
    <row r="786" spans="11:12" ht="14.25" customHeight="1">
      <c r="K786" s="25"/>
      <c r="L786" s="25"/>
    </row>
    <row r="787" spans="11:12" ht="14.25" customHeight="1">
      <c r="K787" s="25"/>
      <c r="L787" s="25"/>
    </row>
    <row r="788" spans="11:12" ht="14.25" customHeight="1">
      <c r="K788" s="25"/>
      <c r="L788" s="25"/>
    </row>
    <row r="789" spans="11:12" ht="14.25" customHeight="1">
      <c r="K789" s="25"/>
      <c r="L789" s="25"/>
    </row>
    <row r="790" spans="11:12" ht="14.25" customHeight="1">
      <c r="K790" s="25"/>
      <c r="L790" s="25"/>
    </row>
    <row r="791" spans="11:12" ht="14.25" customHeight="1">
      <c r="K791" s="25"/>
      <c r="L791" s="25"/>
    </row>
    <row r="792" spans="11:12" ht="14.25" customHeight="1">
      <c r="K792" s="25"/>
      <c r="L792" s="25"/>
    </row>
    <row r="793" spans="11:12" ht="14.25" customHeight="1">
      <c r="K793" s="25"/>
      <c r="L793" s="25"/>
    </row>
    <row r="794" spans="11:12" ht="14.25" customHeight="1">
      <c r="K794" s="25"/>
      <c r="L794" s="25"/>
    </row>
    <row r="795" spans="11:12" ht="14.25" customHeight="1">
      <c r="K795" s="25"/>
      <c r="L795" s="25"/>
    </row>
    <row r="796" spans="11:12" ht="14.25" customHeight="1">
      <c r="K796" s="25"/>
      <c r="L796" s="25"/>
    </row>
    <row r="797" spans="11:12" ht="14.25" customHeight="1">
      <c r="K797" s="25"/>
      <c r="L797" s="25"/>
    </row>
    <row r="798" spans="11:12" ht="14.25" customHeight="1">
      <c r="K798" s="25"/>
      <c r="L798" s="25"/>
    </row>
    <row r="799" spans="11:12" ht="14.25" customHeight="1">
      <c r="K799" s="25"/>
      <c r="L799" s="25"/>
    </row>
    <row r="800" spans="11:12" ht="14.25" customHeight="1">
      <c r="K800" s="25"/>
      <c r="L800" s="25"/>
    </row>
    <row r="801" spans="11:12" ht="14.25" customHeight="1">
      <c r="K801" s="25"/>
      <c r="L801" s="25"/>
    </row>
    <row r="802" spans="11:12" ht="14.25" customHeight="1">
      <c r="K802" s="25"/>
      <c r="L802" s="25"/>
    </row>
    <row r="803" spans="11:12" ht="14.25" customHeight="1">
      <c r="K803" s="25"/>
      <c r="L803" s="25"/>
    </row>
    <row r="804" spans="11:12" ht="14.25" customHeight="1">
      <c r="K804" s="25"/>
      <c r="L804" s="25"/>
    </row>
    <row r="805" spans="11:12" ht="14.25" customHeight="1">
      <c r="K805" s="25"/>
      <c r="L805" s="25"/>
    </row>
    <row r="806" spans="11:12" ht="14.25" customHeight="1">
      <c r="K806" s="25"/>
      <c r="L806" s="25"/>
    </row>
    <row r="807" spans="11:12" ht="14.25" customHeight="1">
      <c r="K807" s="25"/>
      <c r="L807" s="25"/>
    </row>
    <row r="808" spans="11:12" ht="14.25" customHeight="1">
      <c r="K808" s="25"/>
      <c r="L808" s="25"/>
    </row>
    <row r="809" spans="11:12" ht="14.25" customHeight="1">
      <c r="K809" s="25"/>
      <c r="L809" s="25"/>
    </row>
    <row r="810" spans="11:12" ht="14.25" customHeight="1">
      <c r="K810" s="25"/>
      <c r="L810" s="25"/>
    </row>
    <row r="811" spans="11:12" ht="14.25" customHeight="1">
      <c r="K811" s="25"/>
      <c r="L811" s="25"/>
    </row>
    <row r="812" spans="11:12" ht="14.25" customHeight="1">
      <c r="K812" s="25"/>
      <c r="L812" s="25"/>
    </row>
    <row r="813" spans="11:12" ht="14.25" customHeight="1">
      <c r="K813" s="25"/>
      <c r="L813" s="25"/>
    </row>
    <row r="814" spans="11:12" ht="14.25" customHeight="1">
      <c r="K814" s="25"/>
      <c r="L814" s="25"/>
    </row>
    <row r="815" spans="11:12" ht="14.25" customHeight="1">
      <c r="K815" s="25"/>
      <c r="L815" s="25"/>
    </row>
    <row r="816" spans="11:12" ht="14.25" customHeight="1">
      <c r="K816" s="25"/>
      <c r="L816" s="25"/>
    </row>
    <row r="817" spans="11:12" ht="14.25" customHeight="1">
      <c r="K817" s="25"/>
      <c r="L817" s="25"/>
    </row>
    <row r="818" spans="11:12" ht="14.25" customHeight="1">
      <c r="K818" s="25"/>
      <c r="L818" s="25"/>
    </row>
    <row r="819" spans="11:12" ht="14.25" customHeight="1">
      <c r="K819" s="25"/>
      <c r="L819" s="25"/>
    </row>
    <row r="820" spans="11:12" ht="14.25" customHeight="1">
      <c r="K820" s="25"/>
      <c r="L820" s="25"/>
    </row>
    <row r="821" spans="11:12" ht="14.25" customHeight="1">
      <c r="K821" s="25"/>
      <c r="L821" s="25"/>
    </row>
    <row r="822" spans="11:12" ht="14.25" customHeight="1">
      <c r="K822" s="25"/>
      <c r="L822" s="25"/>
    </row>
    <row r="823" spans="11:12" ht="14.25" customHeight="1">
      <c r="K823" s="25"/>
      <c r="L823" s="25"/>
    </row>
    <row r="824" spans="11:12" ht="14.25" customHeight="1">
      <c r="K824" s="25"/>
      <c r="L824" s="25"/>
    </row>
    <row r="825" spans="11:12" ht="14.25" customHeight="1">
      <c r="K825" s="25"/>
      <c r="L825" s="25"/>
    </row>
    <row r="826" spans="11:12" ht="14.25" customHeight="1">
      <c r="K826" s="25"/>
      <c r="L826" s="25"/>
    </row>
    <row r="827" spans="11:12" ht="14.25" customHeight="1">
      <c r="K827" s="25"/>
      <c r="L827" s="25"/>
    </row>
    <row r="828" spans="11:12" ht="14.25" customHeight="1">
      <c r="K828" s="25"/>
      <c r="L828" s="25"/>
    </row>
    <row r="829" spans="11:12" ht="14.25" customHeight="1">
      <c r="K829" s="25"/>
      <c r="L829" s="25"/>
    </row>
    <row r="830" spans="11:12" ht="14.25" customHeight="1">
      <c r="K830" s="25"/>
      <c r="L830" s="25"/>
    </row>
    <row r="831" spans="11:12" ht="14.25" customHeight="1">
      <c r="K831" s="25"/>
      <c r="L831" s="25"/>
    </row>
    <row r="832" spans="11:12" ht="14.25" customHeight="1">
      <c r="K832" s="25"/>
      <c r="L832" s="25"/>
    </row>
    <row r="833" spans="11:12" ht="14.25" customHeight="1">
      <c r="K833" s="25"/>
      <c r="L833" s="25"/>
    </row>
    <row r="834" spans="11:12" ht="14.25" customHeight="1">
      <c r="K834" s="25"/>
      <c r="L834" s="25"/>
    </row>
    <row r="835" spans="11:12" ht="14.25" customHeight="1">
      <c r="K835" s="25"/>
      <c r="L835" s="25"/>
    </row>
    <row r="836" spans="11:12" ht="14.25" customHeight="1">
      <c r="K836" s="25"/>
      <c r="L836" s="25"/>
    </row>
    <row r="837" spans="11:12" ht="14.25" customHeight="1">
      <c r="K837" s="25"/>
      <c r="L837" s="25"/>
    </row>
    <row r="838" spans="11:12" ht="14.25" customHeight="1">
      <c r="K838" s="25"/>
      <c r="L838" s="25"/>
    </row>
    <row r="839" spans="11:12" ht="14.25" customHeight="1">
      <c r="K839" s="25"/>
      <c r="L839" s="25"/>
    </row>
    <row r="840" spans="11:12" ht="14.25" customHeight="1">
      <c r="K840" s="25"/>
      <c r="L840" s="25"/>
    </row>
    <row r="841" spans="11:12" ht="14.25" customHeight="1">
      <c r="K841" s="25"/>
      <c r="L841" s="25"/>
    </row>
    <row r="842" spans="11:12" ht="14.25" customHeight="1">
      <c r="K842" s="25"/>
      <c r="L842" s="25"/>
    </row>
    <row r="843" spans="11:12" ht="14.25" customHeight="1">
      <c r="K843" s="25"/>
      <c r="L843" s="25"/>
    </row>
    <row r="844" spans="11:12" ht="14.25" customHeight="1">
      <c r="K844" s="25"/>
      <c r="L844" s="25"/>
    </row>
    <row r="845" spans="11:12" ht="14.25" customHeight="1">
      <c r="K845" s="25"/>
      <c r="L845" s="25"/>
    </row>
    <row r="846" spans="11:12" ht="14.25" customHeight="1">
      <c r="K846" s="25"/>
      <c r="L846" s="25"/>
    </row>
    <row r="847" spans="11:12" ht="14.25" customHeight="1">
      <c r="K847" s="25"/>
      <c r="L847" s="25"/>
    </row>
    <row r="848" spans="11:12" ht="14.25" customHeight="1">
      <c r="K848" s="25"/>
      <c r="L848" s="25"/>
    </row>
    <row r="849" spans="11:12" ht="14.25" customHeight="1">
      <c r="K849" s="25"/>
      <c r="L849" s="25"/>
    </row>
    <row r="850" spans="11:12" ht="14.25" customHeight="1">
      <c r="K850" s="25"/>
      <c r="L850" s="25"/>
    </row>
    <row r="851" spans="11:12" ht="14.25" customHeight="1">
      <c r="K851" s="25"/>
      <c r="L851" s="25"/>
    </row>
    <row r="852" spans="11:12" ht="14.25" customHeight="1">
      <c r="K852" s="25"/>
      <c r="L852" s="25"/>
    </row>
    <row r="853" spans="11:12" ht="14.25" customHeight="1">
      <c r="K853" s="25"/>
      <c r="L853" s="25"/>
    </row>
    <row r="854" spans="11:12" ht="14.25" customHeight="1">
      <c r="K854" s="25"/>
      <c r="L854" s="25"/>
    </row>
    <row r="855" spans="11:12" ht="14.25" customHeight="1">
      <c r="K855" s="25"/>
      <c r="L855" s="25"/>
    </row>
    <row r="856" spans="11:12" ht="14.25" customHeight="1">
      <c r="K856" s="25"/>
      <c r="L856" s="25"/>
    </row>
    <row r="857" spans="11:12" ht="14.25" customHeight="1">
      <c r="K857" s="25"/>
      <c r="L857" s="25"/>
    </row>
    <row r="858" spans="11:12" ht="14.25" customHeight="1">
      <c r="K858" s="25"/>
      <c r="L858" s="25"/>
    </row>
    <row r="859" spans="11:12" ht="14.25" customHeight="1">
      <c r="K859" s="25"/>
      <c r="L859" s="25"/>
    </row>
    <row r="860" spans="11:12" ht="14.25" customHeight="1">
      <c r="K860" s="25"/>
      <c r="L860" s="25"/>
    </row>
    <row r="861" spans="11:12" ht="14.25" customHeight="1">
      <c r="K861" s="25"/>
      <c r="L861" s="25"/>
    </row>
    <row r="862" spans="11:12" ht="14.25" customHeight="1">
      <c r="K862" s="25"/>
      <c r="L862" s="25"/>
    </row>
    <row r="863" spans="11:12" ht="14.25" customHeight="1">
      <c r="K863" s="25"/>
      <c r="L863" s="25"/>
    </row>
    <row r="864" spans="11:12" ht="14.25" customHeight="1">
      <c r="K864" s="25"/>
      <c r="L864" s="25"/>
    </row>
    <row r="865" spans="11:12" ht="14.25" customHeight="1">
      <c r="K865" s="25"/>
      <c r="L865" s="25"/>
    </row>
    <row r="866" spans="11:12" ht="14.25" customHeight="1">
      <c r="K866" s="25"/>
      <c r="L866" s="25"/>
    </row>
    <row r="867" spans="11:12" ht="14.25" customHeight="1">
      <c r="K867" s="25"/>
      <c r="L867" s="25"/>
    </row>
    <row r="868" spans="11:12" ht="14.25" customHeight="1">
      <c r="K868" s="25"/>
      <c r="L868" s="25"/>
    </row>
    <row r="869" spans="11:12" ht="14.25" customHeight="1">
      <c r="K869" s="25"/>
      <c r="L869" s="25"/>
    </row>
    <row r="870" spans="11:12" ht="14.25" customHeight="1">
      <c r="K870" s="25"/>
      <c r="L870" s="25"/>
    </row>
    <row r="871" spans="11:12" ht="14.25" customHeight="1">
      <c r="K871" s="25"/>
      <c r="L871" s="25"/>
    </row>
    <row r="872" spans="11:12" ht="14.25" customHeight="1">
      <c r="K872" s="25"/>
      <c r="L872" s="25"/>
    </row>
    <row r="873" spans="11:12" ht="14.25" customHeight="1">
      <c r="K873" s="25"/>
      <c r="L873" s="25"/>
    </row>
    <row r="874" spans="11:12" ht="14.25" customHeight="1">
      <c r="K874" s="25"/>
      <c r="L874" s="25"/>
    </row>
    <row r="875" spans="11:12" ht="14.25" customHeight="1">
      <c r="K875" s="25"/>
      <c r="L875" s="25"/>
    </row>
    <row r="876" spans="11:12" ht="14.25" customHeight="1">
      <c r="K876" s="25"/>
      <c r="L876" s="25"/>
    </row>
    <row r="877" spans="11:12" ht="14.25" customHeight="1">
      <c r="K877" s="25"/>
      <c r="L877" s="25"/>
    </row>
    <row r="878" spans="11:12" ht="14.25" customHeight="1">
      <c r="K878" s="25"/>
      <c r="L878" s="25"/>
    </row>
    <row r="879" spans="11:12" ht="14.25" customHeight="1">
      <c r="K879" s="25"/>
      <c r="L879" s="25"/>
    </row>
    <row r="880" spans="11:12" ht="14.25" customHeight="1">
      <c r="K880" s="25"/>
      <c r="L880" s="25"/>
    </row>
    <row r="881" spans="11:12" ht="14.25" customHeight="1">
      <c r="K881" s="25"/>
      <c r="L881" s="25"/>
    </row>
    <row r="882" spans="11:12" ht="14.25" customHeight="1">
      <c r="K882" s="25"/>
      <c r="L882" s="25"/>
    </row>
    <row r="883" spans="11:12" ht="14.25" customHeight="1">
      <c r="K883" s="25"/>
      <c r="L883" s="25"/>
    </row>
    <row r="884" spans="11:12" ht="14.25" customHeight="1">
      <c r="K884" s="25"/>
      <c r="L884" s="25"/>
    </row>
    <row r="885" spans="11:12" ht="14.25" customHeight="1">
      <c r="K885" s="25"/>
      <c r="L885" s="25"/>
    </row>
    <row r="886" spans="11:12" ht="14.25" customHeight="1">
      <c r="K886" s="25"/>
      <c r="L886" s="25"/>
    </row>
    <row r="887" spans="11:12" ht="14.25" customHeight="1">
      <c r="K887" s="25"/>
      <c r="L887" s="25"/>
    </row>
    <row r="888" spans="11:12" ht="14.25" customHeight="1">
      <c r="K888" s="25"/>
      <c r="L888" s="25"/>
    </row>
    <row r="889" spans="11:12" ht="14.25" customHeight="1">
      <c r="K889" s="25"/>
      <c r="L889" s="25"/>
    </row>
    <row r="890" spans="11:12" ht="14.25" customHeight="1">
      <c r="K890" s="25"/>
      <c r="L890" s="25"/>
    </row>
    <row r="891" spans="11:12" ht="14.25" customHeight="1">
      <c r="K891" s="25"/>
      <c r="L891" s="25"/>
    </row>
    <row r="892" spans="11:12" ht="14.25" customHeight="1">
      <c r="K892" s="25"/>
      <c r="L892" s="25"/>
    </row>
    <row r="893" spans="11:12" ht="14.25" customHeight="1">
      <c r="K893" s="25"/>
      <c r="L893" s="25"/>
    </row>
    <row r="894" spans="11:12" ht="14.25" customHeight="1">
      <c r="K894" s="25"/>
      <c r="L894" s="25"/>
    </row>
    <row r="895" spans="11:12" ht="14.25" customHeight="1">
      <c r="K895" s="25"/>
      <c r="L895" s="25"/>
    </row>
    <row r="896" spans="11:12" ht="14.25" customHeight="1">
      <c r="K896" s="25"/>
      <c r="L896" s="25"/>
    </row>
    <row r="897" spans="11:12" ht="14.25" customHeight="1">
      <c r="K897" s="25"/>
      <c r="L897" s="25"/>
    </row>
    <row r="898" spans="11:12" ht="14.25" customHeight="1">
      <c r="K898" s="25"/>
      <c r="L898" s="25"/>
    </row>
    <row r="899" spans="11:12" ht="14.25" customHeight="1">
      <c r="K899" s="25"/>
      <c r="L899" s="25"/>
    </row>
    <row r="900" spans="11:12" ht="14.25" customHeight="1">
      <c r="K900" s="25"/>
      <c r="L900" s="25"/>
    </row>
    <row r="901" spans="11:12" ht="14.25" customHeight="1">
      <c r="K901" s="25"/>
      <c r="L901" s="25"/>
    </row>
    <row r="902" spans="11:12" ht="14.25" customHeight="1">
      <c r="K902" s="25"/>
      <c r="L902" s="25"/>
    </row>
    <row r="903" spans="11:12" ht="14.25" customHeight="1">
      <c r="K903" s="25"/>
      <c r="L903" s="25"/>
    </row>
    <row r="904" spans="11:12" ht="14.25" customHeight="1">
      <c r="K904" s="25"/>
      <c r="L904" s="25"/>
    </row>
    <row r="905" spans="11:12" ht="14.25" customHeight="1">
      <c r="K905" s="25"/>
      <c r="L905" s="25"/>
    </row>
    <row r="906" spans="11:12" ht="14.25" customHeight="1">
      <c r="K906" s="25"/>
      <c r="L906" s="25"/>
    </row>
    <row r="907" spans="11:12" ht="14.25" customHeight="1">
      <c r="K907" s="25"/>
      <c r="L907" s="25"/>
    </row>
    <row r="908" spans="11:12" ht="14.25" customHeight="1">
      <c r="K908" s="25"/>
      <c r="L908" s="25"/>
    </row>
    <row r="909" spans="11:12" ht="14.25" customHeight="1">
      <c r="K909" s="25"/>
      <c r="L909" s="25"/>
    </row>
    <row r="910" spans="11:12" ht="14.25" customHeight="1">
      <c r="K910" s="25"/>
      <c r="L910" s="25"/>
    </row>
    <row r="911" spans="11:12" ht="14.25" customHeight="1">
      <c r="K911" s="25"/>
      <c r="L911" s="25"/>
    </row>
    <row r="912" spans="11:12" ht="14.25" customHeight="1">
      <c r="K912" s="25"/>
      <c r="L912" s="25"/>
    </row>
    <row r="913" spans="11:12" ht="14.25" customHeight="1">
      <c r="K913" s="25"/>
      <c r="L913" s="25"/>
    </row>
    <row r="914" spans="11:12" ht="14.25" customHeight="1">
      <c r="K914" s="25"/>
      <c r="L914" s="25"/>
    </row>
    <row r="915" spans="11:12" ht="14.25" customHeight="1">
      <c r="K915" s="25"/>
      <c r="L915" s="25"/>
    </row>
    <row r="916" spans="11:12" ht="14.25" customHeight="1">
      <c r="K916" s="25"/>
      <c r="L916" s="25"/>
    </row>
    <row r="917" spans="11:12" ht="14.25" customHeight="1">
      <c r="K917" s="25"/>
      <c r="L917" s="25"/>
    </row>
    <row r="918" spans="11:12" ht="14.25" customHeight="1">
      <c r="K918" s="25"/>
      <c r="L918" s="25"/>
    </row>
    <row r="919" spans="11:12" ht="14.25" customHeight="1">
      <c r="K919" s="25"/>
      <c r="L919" s="25"/>
    </row>
    <row r="920" spans="11:12" ht="14.25" customHeight="1">
      <c r="K920" s="25"/>
      <c r="L920" s="25"/>
    </row>
    <row r="921" spans="11:12" ht="14.25" customHeight="1">
      <c r="K921" s="25"/>
      <c r="L921" s="25"/>
    </row>
    <row r="922" spans="11:12" ht="14.25" customHeight="1">
      <c r="K922" s="25"/>
      <c r="L922" s="25"/>
    </row>
    <row r="923" spans="11:12" ht="14.25" customHeight="1">
      <c r="K923" s="25"/>
      <c r="L923" s="25"/>
    </row>
    <row r="924" spans="11:12" ht="14.25" customHeight="1">
      <c r="K924" s="25"/>
      <c r="L924" s="25"/>
    </row>
    <row r="925" spans="11:12" ht="14.25" customHeight="1">
      <c r="K925" s="25"/>
      <c r="L925" s="25"/>
    </row>
    <row r="926" spans="11:12" ht="14.25" customHeight="1">
      <c r="K926" s="25"/>
      <c r="L926" s="25"/>
    </row>
    <row r="927" spans="11:12" ht="14.25" customHeight="1">
      <c r="K927" s="25"/>
      <c r="L927" s="25"/>
    </row>
    <row r="928" spans="11:12" ht="14.25" customHeight="1">
      <c r="K928" s="25"/>
      <c r="L928" s="25"/>
    </row>
    <row r="929" spans="11:12" ht="14.25" customHeight="1">
      <c r="K929" s="25"/>
      <c r="L929" s="25"/>
    </row>
    <row r="930" spans="11:12" ht="14.25" customHeight="1">
      <c r="K930" s="25"/>
      <c r="L930" s="25"/>
    </row>
    <row r="931" spans="11:12" ht="14.25" customHeight="1">
      <c r="K931" s="25"/>
      <c r="L931" s="25"/>
    </row>
    <row r="932" spans="11:12" ht="14.25" customHeight="1">
      <c r="K932" s="25"/>
      <c r="L932" s="25"/>
    </row>
    <row r="933" spans="11:12" ht="14.25" customHeight="1">
      <c r="K933" s="25"/>
      <c r="L933" s="25"/>
    </row>
    <row r="934" spans="11:12" ht="14.25" customHeight="1">
      <c r="K934" s="25"/>
      <c r="L934" s="25"/>
    </row>
    <row r="935" spans="11:12" ht="14.25" customHeight="1">
      <c r="K935" s="25"/>
      <c r="L935" s="25"/>
    </row>
    <row r="936" spans="11:12" ht="14.25" customHeight="1">
      <c r="K936" s="25"/>
      <c r="L936" s="25"/>
    </row>
    <row r="937" spans="11:12" ht="14.25" customHeight="1">
      <c r="K937" s="25"/>
      <c r="L937" s="25"/>
    </row>
    <row r="938" spans="11:12" ht="14.25" customHeight="1">
      <c r="K938" s="25"/>
      <c r="L938" s="25"/>
    </row>
    <row r="939" spans="11:12" ht="14.25" customHeight="1">
      <c r="K939" s="25"/>
      <c r="L939" s="25"/>
    </row>
    <row r="940" spans="11:12" ht="14.25" customHeight="1">
      <c r="K940" s="25"/>
      <c r="L940" s="25"/>
    </row>
    <row r="941" spans="11:12" ht="14.25" customHeight="1">
      <c r="K941" s="25"/>
      <c r="L941" s="25"/>
    </row>
    <row r="942" spans="11:12" ht="14.25" customHeight="1">
      <c r="K942" s="25"/>
      <c r="L942" s="25"/>
    </row>
    <row r="943" spans="11:12" ht="14.25" customHeight="1">
      <c r="K943" s="25"/>
      <c r="L943" s="25"/>
    </row>
    <row r="944" spans="11:12" ht="14.25" customHeight="1">
      <c r="K944" s="25"/>
      <c r="L944" s="25"/>
    </row>
    <row r="945" spans="11:12" ht="14.25" customHeight="1">
      <c r="K945" s="25"/>
      <c r="L945" s="25"/>
    </row>
    <row r="946" spans="11:12" ht="14.25" customHeight="1">
      <c r="K946" s="25"/>
      <c r="L946" s="25"/>
    </row>
    <row r="947" spans="11:12" ht="14.25" customHeight="1">
      <c r="K947" s="25"/>
      <c r="L947" s="25"/>
    </row>
    <row r="948" spans="11:12" ht="14.25" customHeight="1">
      <c r="K948" s="25"/>
      <c r="L948" s="25"/>
    </row>
    <row r="949" spans="11:12" ht="14.25" customHeight="1">
      <c r="K949" s="25"/>
      <c r="L949" s="25"/>
    </row>
    <row r="950" spans="11:12" ht="14.25" customHeight="1">
      <c r="K950" s="25"/>
      <c r="L950" s="25"/>
    </row>
    <row r="951" spans="11:12" ht="14.25" customHeight="1">
      <c r="K951" s="25"/>
      <c r="L951" s="25"/>
    </row>
    <row r="952" spans="11:12" ht="14.25" customHeight="1">
      <c r="K952" s="25"/>
      <c r="L952" s="25"/>
    </row>
    <row r="953" spans="11:12" ht="14.25" customHeight="1">
      <c r="K953" s="25"/>
      <c r="L953" s="25"/>
    </row>
    <row r="954" spans="11:12" ht="14.25" customHeight="1">
      <c r="K954" s="25"/>
      <c r="L954" s="25"/>
    </row>
    <row r="955" spans="11:12" ht="14.25" customHeight="1">
      <c r="K955" s="25"/>
      <c r="L955" s="25"/>
    </row>
    <row r="956" spans="11:12" ht="14.25" customHeight="1">
      <c r="K956" s="25"/>
      <c r="L956" s="25"/>
    </row>
    <row r="957" spans="11:12" ht="14.25" customHeight="1">
      <c r="K957" s="25"/>
      <c r="L957" s="25"/>
    </row>
    <row r="958" spans="11:12" ht="14.25" customHeight="1">
      <c r="K958" s="25"/>
      <c r="L958" s="25"/>
    </row>
    <row r="959" spans="11:12" ht="14.25" customHeight="1">
      <c r="K959" s="25"/>
      <c r="L959" s="25"/>
    </row>
    <row r="960" spans="11:12" ht="14.25" customHeight="1">
      <c r="K960" s="25"/>
      <c r="L960" s="25"/>
    </row>
    <row r="961" spans="11:12" ht="14.25" customHeight="1">
      <c r="K961" s="25"/>
      <c r="L961" s="25"/>
    </row>
    <row r="962" spans="11:12" ht="14.25" customHeight="1">
      <c r="K962" s="25"/>
      <c r="L962" s="25"/>
    </row>
    <row r="963" spans="11:12" ht="14.25" customHeight="1">
      <c r="K963" s="25"/>
      <c r="L963" s="25"/>
    </row>
    <row r="964" spans="11:12" ht="14.25" customHeight="1">
      <c r="K964" s="25"/>
      <c r="L964" s="25"/>
    </row>
    <row r="965" spans="11:12" ht="14.25" customHeight="1">
      <c r="K965" s="25"/>
      <c r="L965" s="25"/>
    </row>
    <row r="966" spans="11:12" ht="14.25" customHeight="1">
      <c r="K966" s="25"/>
      <c r="L966" s="25"/>
    </row>
    <row r="967" spans="11:12" ht="14.25" customHeight="1">
      <c r="K967" s="25"/>
      <c r="L967" s="25"/>
    </row>
    <row r="968" spans="11:12" ht="14.25" customHeight="1">
      <c r="K968" s="25"/>
      <c r="L968" s="25"/>
    </row>
    <row r="969" spans="11:12" ht="14.25" customHeight="1">
      <c r="K969" s="25"/>
      <c r="L969" s="25"/>
    </row>
    <row r="970" spans="11:12" ht="14.25" customHeight="1">
      <c r="K970" s="25"/>
      <c r="L970" s="25"/>
    </row>
    <row r="971" spans="11:12" ht="14.25" customHeight="1">
      <c r="K971" s="25"/>
      <c r="L971" s="25"/>
    </row>
    <row r="972" spans="11:12" ht="14.25" customHeight="1">
      <c r="K972" s="25"/>
      <c r="L972" s="25"/>
    </row>
    <row r="973" spans="11:12" ht="14.25" customHeight="1">
      <c r="K973" s="25"/>
      <c r="L973" s="25"/>
    </row>
    <row r="974" spans="11:12" ht="14.25" customHeight="1">
      <c r="K974" s="25"/>
      <c r="L974" s="25"/>
    </row>
    <row r="975" spans="11:12" ht="14.25" customHeight="1">
      <c r="K975" s="25"/>
      <c r="L975" s="25"/>
    </row>
    <row r="976" spans="11:12" ht="14.25" customHeight="1">
      <c r="K976" s="25"/>
      <c r="L976" s="25"/>
    </row>
    <row r="977" spans="11:12" ht="14.25" customHeight="1">
      <c r="K977" s="25"/>
      <c r="L977" s="25"/>
    </row>
    <row r="978" spans="11:12" ht="14.25" customHeight="1">
      <c r="K978" s="25"/>
      <c r="L978" s="25"/>
    </row>
    <row r="979" spans="11:12" ht="14.25" customHeight="1">
      <c r="K979" s="25"/>
      <c r="L979" s="25"/>
    </row>
    <row r="980" spans="11:12" ht="14.25" customHeight="1">
      <c r="K980" s="25"/>
      <c r="L980" s="25"/>
    </row>
    <row r="981" spans="11:12" ht="14.25" customHeight="1">
      <c r="K981" s="25"/>
      <c r="L981" s="25"/>
    </row>
    <row r="982" spans="11:12" ht="14.25" customHeight="1">
      <c r="K982" s="25"/>
      <c r="L982" s="25"/>
    </row>
    <row r="983" spans="11:12" ht="14.25" customHeight="1">
      <c r="K983" s="25"/>
      <c r="L983" s="25"/>
    </row>
    <row r="984" spans="11:12" ht="14.25" customHeight="1">
      <c r="K984" s="25"/>
      <c r="L984" s="25"/>
    </row>
    <row r="985" spans="11:12" ht="14.25" customHeight="1">
      <c r="K985" s="25"/>
      <c r="L985" s="25"/>
    </row>
    <row r="986" spans="11:12" ht="14.25" customHeight="1">
      <c r="K986" s="25"/>
      <c r="L986" s="25"/>
    </row>
    <row r="987" spans="11:12" ht="14.25" customHeight="1">
      <c r="K987" s="25"/>
      <c r="L987" s="25"/>
    </row>
    <row r="988" spans="11:12" ht="14.25" customHeight="1">
      <c r="K988" s="25"/>
      <c r="L988" s="25"/>
    </row>
    <row r="989" spans="11:12" ht="14.25" customHeight="1">
      <c r="K989" s="25"/>
      <c r="L989" s="25"/>
    </row>
    <row r="990" spans="11:12" ht="14.25" customHeight="1">
      <c r="K990" s="25"/>
      <c r="L990" s="25"/>
    </row>
    <row r="991" spans="11:12" ht="14.25" customHeight="1">
      <c r="K991" s="25"/>
      <c r="L991" s="25"/>
    </row>
    <row r="992" spans="11:12" ht="14.25" customHeight="1">
      <c r="K992" s="25"/>
      <c r="L992" s="25"/>
    </row>
    <row r="993" spans="11:12" ht="14.25" customHeight="1">
      <c r="K993" s="25"/>
      <c r="L993" s="25"/>
    </row>
    <row r="994" spans="11:12" ht="14.25" customHeight="1">
      <c r="K994" s="25"/>
      <c r="L994" s="25"/>
    </row>
    <row r="995" spans="11:12" ht="14.25" customHeight="1">
      <c r="K995" s="25"/>
      <c r="L995" s="25"/>
    </row>
    <row r="996" spans="11:12" ht="14.25" customHeight="1">
      <c r="K996" s="25"/>
      <c r="L996" s="25"/>
    </row>
    <row r="997" spans="11:12" ht="14.25" customHeight="1">
      <c r="K997" s="25"/>
      <c r="L997" s="25"/>
    </row>
    <row r="998" spans="11:12" ht="14.25" customHeight="1">
      <c r="K998" s="25"/>
      <c r="L998" s="25"/>
    </row>
    <row r="999" spans="11:12" ht="14.25" customHeight="1">
      <c r="K999" s="25"/>
      <c r="L999" s="25"/>
    </row>
    <row r="1000" spans="11:12" ht="14.25" customHeight="1">
      <c r="K1000" s="25"/>
      <c r="L1000" s="25"/>
    </row>
    <row r="1001" spans="11:12" ht="14.25" customHeight="1">
      <c r="K1001" s="25"/>
      <c r="L1001" s="25"/>
    </row>
    <row r="1002" spans="11:12" ht="14.25" customHeight="1">
      <c r="K1002" s="25"/>
      <c r="L1002" s="25"/>
    </row>
    <row r="1003" spans="11:12" ht="14.25" customHeight="1">
      <c r="K1003" s="25"/>
      <c r="L1003" s="25"/>
    </row>
    <row r="1004" spans="11:12" ht="15" customHeight="1">
      <c r="K1004" s="25"/>
      <c r="L1004" s="25"/>
    </row>
  </sheetData>
  <mergeCells count="24"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J4:J5"/>
    <mergeCell ref="E17:G17"/>
    <mergeCell ref="D9:E9"/>
    <mergeCell ref="G4:G5"/>
    <mergeCell ref="H4:H5"/>
    <mergeCell ref="A1:K2"/>
    <mergeCell ref="D8:E8"/>
    <mergeCell ref="D7:E7"/>
    <mergeCell ref="D10:E10"/>
    <mergeCell ref="D11:E11"/>
    <mergeCell ref="B4:B5"/>
    <mergeCell ref="D12:E12"/>
    <mergeCell ref="D13:E13"/>
    <mergeCell ref="D14:E14"/>
  </mergeCells>
  <pageMargins left="0.23622047244094491" right="0.23622047244094491" top="0.74803149606299213" bottom="0.74803149606299213" header="0.31496062992125984" footer="0.31496062992125984"/>
  <pageSetup scale="6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3E830F-6921-4D1E-9174-B272FE25B64A}">
          <x14:formula1>
            <xm:f>Hoja1!$B$3:$B$4</xm:f>
          </x14:formula1>
          <xm:sqref>B8:B14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000"/>
  <sheetViews>
    <sheetView topLeftCell="B7" zoomScale="80" zoomScaleNormal="80" workbookViewId="0">
      <selection activeCell="D15" sqref="D15"/>
    </sheetView>
  </sheetViews>
  <sheetFormatPr baseColWidth="10" defaultColWidth="14.3984375" defaultRowHeight="15" customHeight="1"/>
  <cols>
    <col min="1" max="2" width="12.8984375" style="63" customWidth="1"/>
    <col min="3" max="3" width="24" customWidth="1"/>
    <col min="4" max="4" width="20.296875" customWidth="1"/>
    <col min="5" max="5" width="18.3984375" customWidth="1"/>
    <col min="6" max="6" width="17.296875" style="74" customWidth="1"/>
    <col min="7" max="8" width="16.69921875" style="74" customWidth="1"/>
    <col min="9" max="9" width="18.09765625" style="74" bestFit="1" customWidth="1"/>
    <col min="10" max="10" width="4.69921875" bestFit="1" customWidth="1"/>
    <col min="11" max="11" width="36.3984375" bestFit="1" customWidth="1"/>
    <col min="12" max="12" width="15.296875" customWidth="1"/>
    <col min="13" max="13" width="15.69921875" bestFit="1" customWidth="1"/>
    <col min="14" max="16" width="10.69921875" customWidth="1"/>
    <col min="17" max="17" width="14.09765625" bestFit="1" customWidth="1"/>
    <col min="18" max="29" width="10.69921875" customWidth="1"/>
  </cols>
  <sheetData>
    <row r="1" spans="1:17" ht="14.25" customHeight="1">
      <c r="A1" s="411" t="s">
        <v>219</v>
      </c>
      <c r="B1" s="411"/>
      <c r="C1" s="410"/>
      <c r="D1" s="410"/>
      <c r="E1" s="410"/>
      <c r="F1" s="410"/>
      <c r="G1" s="410"/>
      <c r="H1" s="410"/>
      <c r="I1" s="410"/>
      <c r="J1" s="410"/>
      <c r="K1" s="410"/>
      <c r="L1" s="409"/>
      <c r="M1" s="409">
        <f ca="1">TODAY()</f>
        <v>46205</v>
      </c>
    </row>
    <row r="2" spans="1:17" ht="14.25" customHeight="1">
      <c r="A2" s="410"/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3" spans="1:17" ht="14.25" customHeight="1" thickBot="1">
      <c r="A3" s="61"/>
      <c r="B3" s="61"/>
      <c r="C3" s="61"/>
      <c r="D3" s="61"/>
      <c r="E3" s="61"/>
      <c r="F3" s="135"/>
      <c r="G3" s="135"/>
      <c r="H3" s="135"/>
      <c r="I3" s="135"/>
      <c r="J3" s="136"/>
      <c r="K3" s="61"/>
      <c r="L3" s="61"/>
      <c r="M3" s="136"/>
    </row>
    <row r="4" spans="1:17" ht="15.55" thickTop="1" thickBot="1">
      <c r="A4" s="343" t="s">
        <v>0</v>
      </c>
      <c r="B4" s="353"/>
      <c r="C4" s="345">
        <v>1</v>
      </c>
      <c r="D4" s="347" t="s">
        <v>2</v>
      </c>
      <c r="E4" s="348">
        <v>3500000</v>
      </c>
      <c r="F4" s="326" t="s">
        <v>3</v>
      </c>
      <c r="G4" s="326">
        <f>I8*M8+I9*M9+I10*M10+I11*M11+I12*M12+I13*M13</f>
        <v>4536746.5475137932</v>
      </c>
      <c r="H4" s="328" t="s">
        <v>30</v>
      </c>
      <c r="I4" s="328">
        <f>I15-E4</f>
        <v>5657491.7214137912</v>
      </c>
      <c r="J4" s="351"/>
      <c r="K4" s="33" t="s">
        <v>5</v>
      </c>
      <c r="L4" s="349">
        <f>G4/E4</f>
        <v>1.2962132992896551</v>
      </c>
      <c r="M4" s="350"/>
    </row>
    <row r="5" spans="1:17" ht="15.55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77">
        <f>AVERAGE(M8:M13)</f>
        <v>0.77500000000000002</v>
      </c>
      <c r="M5" s="378"/>
    </row>
    <row r="6" spans="1:17" ht="14.25" customHeight="1">
      <c r="A6" s="5"/>
      <c r="B6" s="5"/>
      <c r="C6" s="5"/>
      <c r="D6" s="5"/>
      <c r="E6" s="5"/>
      <c r="F6" s="82"/>
      <c r="G6" s="82"/>
      <c r="H6" s="82"/>
      <c r="I6" s="82"/>
      <c r="J6" s="29"/>
      <c r="K6" s="5"/>
      <c r="L6" s="61"/>
    </row>
    <row r="7" spans="1:17" ht="25.35">
      <c r="A7" s="41" t="s">
        <v>7</v>
      </c>
      <c r="B7" s="41" t="s">
        <v>228</v>
      </c>
      <c r="C7" s="41" t="s">
        <v>8</v>
      </c>
      <c r="D7" s="380" t="s">
        <v>9</v>
      </c>
      <c r="E7" s="381"/>
      <c r="F7" s="81" t="s">
        <v>11</v>
      </c>
      <c r="G7" s="81" t="s">
        <v>12</v>
      </c>
      <c r="H7" s="81" t="s">
        <v>13</v>
      </c>
      <c r="I7" s="81" t="s">
        <v>14</v>
      </c>
      <c r="J7" s="41" t="s">
        <v>92</v>
      </c>
      <c r="K7" s="41" t="s">
        <v>15</v>
      </c>
      <c r="L7" s="41" t="s">
        <v>93</v>
      </c>
      <c r="M7" s="41" t="s">
        <v>16</v>
      </c>
    </row>
    <row r="8" spans="1:17" ht="45.65" customHeight="1">
      <c r="A8" s="104">
        <v>1</v>
      </c>
      <c r="B8" s="40">
        <v>2025</v>
      </c>
      <c r="C8" s="114" t="s">
        <v>58</v>
      </c>
      <c r="D8" s="332" t="s">
        <v>267</v>
      </c>
      <c r="E8" s="332"/>
      <c r="F8" s="155">
        <f>959679.24/1.16</f>
        <v>827309.68965517241</v>
      </c>
      <c r="G8" s="155">
        <v>714308.3</v>
      </c>
      <c r="H8" s="155">
        <v>245370.94</v>
      </c>
      <c r="I8" s="156">
        <v>147222.56</v>
      </c>
      <c r="J8" s="46">
        <f>H8/F8</f>
        <v>0.29658898362748787</v>
      </c>
      <c r="K8" s="118" t="s">
        <v>45</v>
      </c>
      <c r="L8" s="46">
        <v>1</v>
      </c>
      <c r="M8" s="46">
        <v>0.7</v>
      </c>
    </row>
    <row r="9" spans="1:17" ht="53.85" customHeight="1">
      <c r="A9" s="137">
        <v>2</v>
      </c>
      <c r="B9" s="39">
        <v>2025</v>
      </c>
      <c r="C9" s="134" t="s">
        <v>17</v>
      </c>
      <c r="D9" s="425" t="s">
        <v>139</v>
      </c>
      <c r="E9" s="425"/>
      <c r="F9" s="138">
        <v>2434370</v>
      </c>
      <c r="G9" s="151">
        <v>1698000</v>
      </c>
      <c r="H9" s="151">
        <v>429159</v>
      </c>
      <c r="I9" s="152">
        <f>H9*0.7</f>
        <v>300411.3</v>
      </c>
      <c r="J9" s="153">
        <f>H9/F9</f>
        <v>0.17629160727416129</v>
      </c>
      <c r="K9" s="154" t="s">
        <v>45</v>
      </c>
      <c r="L9" s="153">
        <v>1</v>
      </c>
      <c r="M9" s="153">
        <v>1</v>
      </c>
      <c r="Q9" s="169"/>
    </row>
    <row r="10" spans="1:17" ht="41.2" customHeight="1">
      <c r="A10" s="104">
        <f>A9+1</f>
        <v>3</v>
      </c>
      <c r="B10" s="40">
        <v>2025</v>
      </c>
      <c r="C10" s="114" t="s">
        <v>141</v>
      </c>
      <c r="D10" s="332" t="s">
        <v>139</v>
      </c>
      <c r="E10" s="332"/>
      <c r="F10" s="155">
        <v>17580899.899999999</v>
      </c>
      <c r="G10" s="155">
        <v>12174501.6</v>
      </c>
      <c r="H10" s="155">
        <v>5222589.3</v>
      </c>
      <c r="I10" s="156">
        <v>3510702.93</v>
      </c>
      <c r="J10" s="157">
        <f>H10/F10</f>
        <v>0.29706040815350981</v>
      </c>
      <c r="K10" s="118" t="s">
        <v>45</v>
      </c>
      <c r="L10" s="157">
        <v>1</v>
      </c>
      <c r="M10" s="157">
        <v>1</v>
      </c>
      <c r="Q10" s="169"/>
    </row>
    <row r="11" spans="1:17" ht="81.650000000000006" customHeight="1">
      <c r="A11" s="158">
        <f t="shared" ref="A11:A13" si="0">A10+1</f>
        <v>4</v>
      </c>
      <c r="B11" s="39">
        <v>2025</v>
      </c>
      <c r="C11" s="159" t="s">
        <v>104</v>
      </c>
      <c r="D11" s="425" t="s">
        <v>139</v>
      </c>
      <c r="E11" s="425"/>
      <c r="F11" s="160">
        <f>3499020.35/1.16</f>
        <v>3016396.8534482759</v>
      </c>
      <c r="G11" s="160">
        <v>2139835.12</v>
      </c>
      <c r="H11" s="160">
        <v>876561.73344827595</v>
      </c>
      <c r="I11" s="161">
        <f>H11*0.7</f>
        <v>613593.21341379313</v>
      </c>
      <c r="J11" s="162">
        <f>H11/F11</f>
        <v>0.2905989417295044</v>
      </c>
      <c r="K11" s="163" t="s">
        <v>22</v>
      </c>
      <c r="L11" s="162">
        <v>1</v>
      </c>
      <c r="M11" s="162">
        <v>1</v>
      </c>
      <c r="Q11" s="169"/>
    </row>
    <row r="12" spans="1:17" ht="25.95" customHeight="1">
      <c r="A12" s="104">
        <f t="shared" si="0"/>
        <v>5</v>
      </c>
      <c r="B12" s="40">
        <v>2025</v>
      </c>
      <c r="C12" s="164" t="s">
        <v>140</v>
      </c>
      <c r="D12" s="426" t="s">
        <v>268</v>
      </c>
      <c r="E12" s="424"/>
      <c r="F12" s="165">
        <v>49590</v>
      </c>
      <c r="G12" s="165">
        <v>29300</v>
      </c>
      <c r="H12" s="165">
        <v>13508.74</v>
      </c>
      <c r="I12" s="156">
        <f>H12*0.7</f>
        <v>9456.1179999999986</v>
      </c>
      <c r="J12" s="157">
        <f>H12/F12</f>
        <v>0.27240855011090948</v>
      </c>
      <c r="K12" s="118" t="s">
        <v>45</v>
      </c>
      <c r="L12" s="157">
        <v>1</v>
      </c>
      <c r="M12" s="46">
        <v>0.95</v>
      </c>
      <c r="Q12" s="169"/>
    </row>
    <row r="13" spans="1:17" ht="69.55" customHeight="1">
      <c r="A13" s="158">
        <f t="shared" si="0"/>
        <v>6</v>
      </c>
      <c r="B13" s="39">
        <v>2026</v>
      </c>
      <c r="C13" s="159" t="s">
        <v>344</v>
      </c>
      <c r="D13" s="425" t="s">
        <v>377</v>
      </c>
      <c r="E13" s="425"/>
      <c r="F13" s="160">
        <f>28155520/1.16</f>
        <v>24272000</v>
      </c>
      <c r="G13" s="160">
        <v>22496000</v>
      </c>
      <c r="H13" s="160">
        <v>5492431.3600000003</v>
      </c>
      <c r="I13" s="161">
        <v>4576105.5999999996</v>
      </c>
      <c r="J13" s="162">
        <v>0.2</v>
      </c>
      <c r="K13" s="163" t="s">
        <v>227</v>
      </c>
      <c r="L13" s="162">
        <v>0</v>
      </c>
      <c r="M13" s="162">
        <v>0</v>
      </c>
      <c r="Q13" s="169"/>
    </row>
    <row r="14" spans="1:17" ht="54.6" customHeight="1">
      <c r="A14" s="310"/>
      <c r="B14" s="40">
        <v>2026</v>
      </c>
      <c r="C14" s="164" t="s">
        <v>379</v>
      </c>
      <c r="D14" s="423" t="s">
        <v>399</v>
      </c>
      <c r="E14" s="424"/>
      <c r="F14" s="165">
        <v>9611455</v>
      </c>
      <c r="G14" s="165"/>
      <c r="H14" s="165"/>
      <c r="I14" s="156"/>
      <c r="J14" s="157"/>
      <c r="K14" s="118" t="s">
        <v>380</v>
      </c>
      <c r="L14" s="157">
        <v>0</v>
      </c>
      <c r="M14" s="46">
        <v>0</v>
      </c>
      <c r="Q14" s="169"/>
    </row>
    <row r="15" spans="1:17" ht="19.149999999999999" customHeight="1">
      <c r="E15" s="11" t="s">
        <v>20</v>
      </c>
      <c r="F15" s="73">
        <f>SUM(F8:F13)</f>
        <v>48180566.443103448</v>
      </c>
      <c r="G15" s="73">
        <f t="shared" ref="G15:I15" si="1">SUM(G8:G13)</f>
        <v>39251945.019999996</v>
      </c>
      <c r="H15" s="73">
        <f t="shared" si="1"/>
        <v>12279621.073448278</v>
      </c>
      <c r="I15" s="73">
        <f t="shared" si="1"/>
        <v>9157491.7214137912</v>
      </c>
      <c r="Q15" s="166"/>
    </row>
    <row r="16" spans="1:17" ht="14.25" customHeight="1"/>
    <row r="17" spans="4:13" ht="14.4">
      <c r="D17" s="322" t="s">
        <v>21</v>
      </c>
      <c r="E17" s="322"/>
      <c r="F17" s="322"/>
      <c r="G17" s="322"/>
      <c r="H17" s="46">
        <f>H15/F15</f>
        <v>0.25486668131951734</v>
      </c>
    </row>
    <row r="18" spans="4:13" ht="14.25" customHeight="1"/>
    <row r="19" spans="4:13" ht="14.25" customHeight="1">
      <c r="M19" s="74"/>
    </row>
    <row r="20" spans="4:13" ht="14.25" customHeight="1"/>
    <row r="21" spans="4:13" ht="14.25" customHeight="1"/>
    <row r="22" spans="4:13" ht="14.25" customHeight="1"/>
    <row r="23" spans="4:13" ht="14.25" customHeight="1"/>
    <row r="24" spans="4:13" ht="14.25" customHeight="1"/>
    <row r="25" spans="4:13" ht="14.25" customHeight="1"/>
    <row r="26" spans="4:13" ht="14.25" customHeight="1"/>
    <row r="27" spans="4:13" ht="14.25" customHeight="1"/>
    <row r="28" spans="4:13" ht="14.25" customHeight="1"/>
    <row r="29" spans="4:13" ht="14.25" customHeight="1"/>
    <row r="30" spans="4:13" ht="14.25" customHeight="1"/>
    <row r="31" spans="4:13" ht="14.25" customHeight="1"/>
    <row r="32" spans="4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J4:J5"/>
    <mergeCell ref="D17:G17"/>
    <mergeCell ref="D12:E1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G4:G5"/>
    <mergeCell ref="H4:H5"/>
    <mergeCell ref="A1:K2"/>
    <mergeCell ref="D14:E14"/>
    <mergeCell ref="D13:E13"/>
    <mergeCell ref="B4:B5"/>
    <mergeCell ref="D11:E11"/>
    <mergeCell ref="D8:E8"/>
    <mergeCell ref="D9:E9"/>
    <mergeCell ref="D10:E10"/>
    <mergeCell ref="D7:E7"/>
  </mergeCells>
  <pageMargins left="0.23622047244094491" right="0.23622047244094491" top="0.74803149606299213" bottom="0.74803149606299213" header="0.31496062992125984" footer="0.31496062992125984"/>
  <pageSetup scale="58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A120F8B-A4FA-4582-BD2A-80A01439D176}">
          <x14:formula1>
            <xm:f>Hoja1!$B$3:$B$4</xm:f>
          </x14:formula1>
          <xm:sqref>B8:B14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N1008"/>
  <sheetViews>
    <sheetView tabSelected="1" zoomScale="70" zoomScaleNormal="70" workbookViewId="0">
      <selection activeCell="L9" sqref="L9"/>
    </sheetView>
  </sheetViews>
  <sheetFormatPr baseColWidth="10" defaultColWidth="14.3984375" defaultRowHeight="14.4"/>
  <cols>
    <col min="1" max="1" width="7.3984375" style="63" bestFit="1" customWidth="1"/>
    <col min="2" max="2" width="6.09765625" style="63" customWidth="1"/>
    <col min="3" max="3" width="36.8984375" customWidth="1"/>
    <col min="4" max="4" width="20.296875" customWidth="1"/>
    <col min="5" max="5" width="27.59765625" customWidth="1"/>
    <col min="6" max="8" width="16.296875" style="74" bestFit="1" customWidth="1"/>
    <col min="9" max="9" width="21.8984375" style="74" bestFit="1" customWidth="1"/>
    <col min="10" max="10" width="6.296875" bestFit="1" customWidth="1"/>
    <col min="11" max="11" width="41.3984375" customWidth="1"/>
    <col min="12" max="12" width="13.59765625" customWidth="1"/>
    <col min="13" max="13" width="16.296875" bestFit="1" customWidth="1"/>
    <col min="14" max="14" width="21.69921875" customWidth="1"/>
    <col min="15" max="15" width="15.3984375" customWidth="1"/>
    <col min="16" max="16" width="10.69921875" customWidth="1"/>
    <col min="17" max="17" width="17.69921875" customWidth="1"/>
    <col min="18" max="29" width="10.69921875" customWidth="1"/>
  </cols>
  <sheetData>
    <row r="1" spans="1:13">
      <c r="A1" s="333" t="s">
        <v>220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8.45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28"/>
    </row>
    <row r="4" spans="1:13" ht="15.55" thickTop="1" thickBot="1">
      <c r="A4" s="343" t="s">
        <v>0</v>
      </c>
      <c r="B4" s="353"/>
      <c r="C4" s="345">
        <v>1</v>
      </c>
      <c r="D4" s="347" t="s">
        <v>2</v>
      </c>
      <c r="E4" s="348">
        <v>5240000</v>
      </c>
      <c r="F4" s="326" t="s">
        <v>3</v>
      </c>
      <c r="G4" s="326">
        <f>H8*M8+H9*M9+H10*M10+H11*M11+H12*M12+H13*M13+H14*M14+H15*M15+H16*M16+H18*M18+H17*M17+H20*M20+H22*M22+H23*M23+H19*M19+H21*M21+H24*M24+H25*M25+H26*M26+H27*M27+H28*M28</f>
        <v>6934692.0592421535</v>
      </c>
      <c r="H4" s="328" t="s">
        <v>30</v>
      </c>
      <c r="I4" s="328">
        <f>H31-E4</f>
        <v>4986253.4199896567</v>
      </c>
      <c r="J4" s="351"/>
      <c r="K4" s="33" t="s">
        <v>5</v>
      </c>
      <c r="L4" s="349">
        <f>G4/E4</f>
        <v>1.3234145151225485</v>
      </c>
      <c r="M4" s="387"/>
    </row>
    <row r="5" spans="1:13" ht="15.55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AVERAGE(M8:M26)</f>
        <v>0.92050843804824556</v>
      </c>
      <c r="M5" s="387"/>
    </row>
    <row r="6" spans="1:13" ht="17.850000000000001">
      <c r="A6" s="4"/>
      <c r="B6" s="27"/>
      <c r="C6" s="4"/>
      <c r="D6" s="4"/>
      <c r="E6" s="4"/>
      <c r="F6" s="71"/>
      <c r="G6" s="71"/>
      <c r="H6" s="71"/>
      <c r="I6" s="71"/>
      <c r="J6" s="29"/>
      <c r="K6" s="5"/>
      <c r="L6" s="27"/>
      <c r="M6" s="198"/>
    </row>
    <row r="7" spans="1:13" ht="25.35">
      <c r="A7" s="48" t="s">
        <v>7</v>
      </c>
      <c r="B7" s="230" t="s">
        <v>228</v>
      </c>
      <c r="C7" s="220" t="s">
        <v>8</v>
      </c>
      <c r="D7" s="380" t="s">
        <v>9</v>
      </c>
      <c r="E7" s="381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>
      <c r="A8" s="226">
        <v>1</v>
      </c>
      <c r="B8" s="107">
        <v>2025</v>
      </c>
      <c r="C8" s="105" t="s">
        <v>59</v>
      </c>
      <c r="D8" s="427" t="s">
        <v>405</v>
      </c>
      <c r="E8" s="427"/>
      <c r="F8" s="99">
        <f>16704000/1.16</f>
        <v>14400000.000000002</v>
      </c>
      <c r="G8" s="100">
        <v>7301889.7199999997</v>
      </c>
      <c r="H8" s="321">
        <v>4509134.2767999982</v>
      </c>
      <c r="I8" s="101">
        <f>H8/2</f>
        <v>2254567.1383999991</v>
      </c>
      <c r="J8" s="55">
        <f>H8/F8</f>
        <v>0.31313432477777764</v>
      </c>
      <c r="K8" s="20" t="s">
        <v>19</v>
      </c>
      <c r="L8" s="55">
        <f>16/32</f>
        <v>0.5</v>
      </c>
      <c r="M8" s="55">
        <f>7051108.65/F8</f>
        <v>0.48966032291666661</v>
      </c>
    </row>
    <row r="9" spans="1:13">
      <c r="A9" s="227">
        <f>A8+1</f>
        <v>2</v>
      </c>
      <c r="B9" s="108">
        <v>2025</v>
      </c>
      <c r="C9" s="106" t="s">
        <v>60</v>
      </c>
      <c r="D9" s="428" t="s">
        <v>18</v>
      </c>
      <c r="E9" s="428"/>
      <c r="F9" s="92">
        <f>47352.8/1.16</f>
        <v>40821.379310344833</v>
      </c>
      <c r="G9" s="93">
        <v>30856.5</v>
      </c>
      <c r="H9" s="93">
        <f>F9-G9</f>
        <v>9964.8793103448334</v>
      </c>
      <c r="I9" s="94">
        <f t="shared" ref="I9:I16" si="0">H9/2</f>
        <v>4982.4396551724167</v>
      </c>
      <c r="J9" s="32">
        <f t="shared" ref="J9:J16" si="1">H9/F9</f>
        <v>0.24410932405264324</v>
      </c>
      <c r="K9" s="18" t="s">
        <v>19</v>
      </c>
      <c r="L9" s="32">
        <v>1</v>
      </c>
      <c r="M9" s="32">
        <v>1</v>
      </c>
    </row>
    <row r="10" spans="1:13">
      <c r="A10" s="226">
        <v>3</v>
      </c>
      <c r="B10" s="107">
        <v>2025</v>
      </c>
      <c r="C10" s="105" t="s">
        <v>61</v>
      </c>
      <c r="D10" s="427" t="s">
        <v>18</v>
      </c>
      <c r="E10" s="427"/>
      <c r="F10" s="99">
        <f>107810.92/1.16</f>
        <v>92940.448275862072</v>
      </c>
      <c r="G10" s="100">
        <v>80114.990000000005</v>
      </c>
      <c r="H10" s="100">
        <v>26294.39</v>
      </c>
      <c r="I10" s="101">
        <f t="shared" si="0"/>
        <v>13147.195</v>
      </c>
      <c r="J10" s="55">
        <f t="shared" si="1"/>
        <v>0.28291653943774897</v>
      </c>
      <c r="K10" s="20" t="s">
        <v>19</v>
      </c>
      <c r="L10" s="55">
        <v>1</v>
      </c>
      <c r="M10" s="55">
        <v>1</v>
      </c>
    </row>
    <row r="11" spans="1:13" ht="53" customHeight="1">
      <c r="A11" s="227">
        <f t="shared" ref="A11" si="2">A10+1</f>
        <v>4</v>
      </c>
      <c r="B11" s="108">
        <v>2025</v>
      </c>
      <c r="C11" s="106" t="s">
        <v>404</v>
      </c>
      <c r="D11" s="428" t="s">
        <v>18</v>
      </c>
      <c r="E11" s="428"/>
      <c r="F11" s="212">
        <f>'[1]Hoja1 (2)'!$L$44*7+'[1]Hoja1 (2)'!$L$70*2</f>
        <v>3148245.8</v>
      </c>
      <c r="G11" s="213">
        <f>F11*0.8</f>
        <v>2518596.64</v>
      </c>
      <c r="H11" s="213">
        <f>F11*0.2</f>
        <v>629649.16</v>
      </c>
      <c r="I11" s="94">
        <f t="shared" si="0"/>
        <v>314824.58</v>
      </c>
      <c r="J11" s="32">
        <f t="shared" si="1"/>
        <v>0.2</v>
      </c>
      <c r="K11" s="18" t="s">
        <v>19</v>
      </c>
      <c r="L11" s="32">
        <v>1</v>
      </c>
      <c r="M11" s="32">
        <v>1</v>
      </c>
    </row>
    <row r="12" spans="1:13">
      <c r="A12" s="226">
        <v>5</v>
      </c>
      <c r="B12" s="107">
        <v>2025</v>
      </c>
      <c r="C12" s="105" t="s">
        <v>51</v>
      </c>
      <c r="D12" s="427" t="s">
        <v>18</v>
      </c>
      <c r="E12" s="427"/>
      <c r="F12" s="99">
        <f>490778.61/1.16</f>
        <v>423085.00862068968</v>
      </c>
      <c r="G12" s="100">
        <v>151407.84</v>
      </c>
      <c r="H12" s="100">
        <v>208869.96</v>
      </c>
      <c r="I12" s="101">
        <f t="shared" si="0"/>
        <v>104434.98</v>
      </c>
      <c r="J12" s="55">
        <f t="shared" si="1"/>
        <v>0.49368319780684811</v>
      </c>
      <c r="K12" s="20" t="s">
        <v>19</v>
      </c>
      <c r="L12" s="55">
        <v>1</v>
      </c>
      <c r="M12" s="55">
        <v>1</v>
      </c>
    </row>
    <row r="13" spans="1:13">
      <c r="A13" s="227">
        <f t="shared" ref="A13" si="3">A12+1</f>
        <v>6</v>
      </c>
      <c r="B13" s="108">
        <v>2025</v>
      </c>
      <c r="C13" s="106" t="s">
        <v>62</v>
      </c>
      <c r="D13" s="428" t="s">
        <v>18</v>
      </c>
      <c r="E13" s="428"/>
      <c r="F13" s="92">
        <f>229970/1.16</f>
        <v>198250</v>
      </c>
      <c r="G13" s="93">
        <v>151109.85999999999</v>
      </c>
      <c r="H13" s="93">
        <v>78860.14</v>
      </c>
      <c r="I13" s="94">
        <f t="shared" si="0"/>
        <v>39430.07</v>
      </c>
      <c r="J13" s="32">
        <f t="shared" si="1"/>
        <v>0.39778128625472886</v>
      </c>
      <c r="K13" s="18" t="s">
        <v>19</v>
      </c>
      <c r="L13" s="32">
        <v>1</v>
      </c>
      <c r="M13" s="32">
        <v>1</v>
      </c>
    </row>
    <row r="14" spans="1:13">
      <c r="A14" s="226">
        <v>7</v>
      </c>
      <c r="B14" s="107">
        <v>2025</v>
      </c>
      <c r="C14" s="105" t="s">
        <v>63</v>
      </c>
      <c r="D14" s="427" t="s">
        <v>18</v>
      </c>
      <c r="E14" s="427"/>
      <c r="F14" s="99">
        <f>107448.48/1.16</f>
        <v>92628</v>
      </c>
      <c r="G14" s="100">
        <v>0</v>
      </c>
      <c r="H14" s="100">
        <v>39622.54</v>
      </c>
      <c r="I14" s="101">
        <f t="shared" si="0"/>
        <v>19811.27</v>
      </c>
      <c r="J14" s="55">
        <f t="shared" si="1"/>
        <v>0.42775985663082439</v>
      </c>
      <c r="K14" s="20" t="s">
        <v>19</v>
      </c>
      <c r="L14" s="55">
        <v>1</v>
      </c>
      <c r="M14" s="55">
        <v>1</v>
      </c>
    </row>
    <row r="15" spans="1:13">
      <c r="A15" s="227">
        <f t="shared" ref="A15" si="4">A14+1</f>
        <v>8</v>
      </c>
      <c r="B15" s="108">
        <v>2025</v>
      </c>
      <c r="C15" s="106" t="s">
        <v>64</v>
      </c>
      <c r="D15" s="428" t="s">
        <v>18</v>
      </c>
      <c r="E15" s="428"/>
      <c r="F15" s="92">
        <f>2000000/1.16</f>
        <v>1724137.9310344828</v>
      </c>
      <c r="G15" s="93">
        <v>1052714.6299999999</v>
      </c>
      <c r="H15" s="93">
        <v>381285.37</v>
      </c>
      <c r="I15" s="94">
        <f t="shared" si="0"/>
        <v>190642.685</v>
      </c>
      <c r="J15" s="32">
        <f t="shared" si="1"/>
        <v>0.22114551459999998</v>
      </c>
      <c r="K15" s="18" t="s">
        <v>22</v>
      </c>
      <c r="L15" s="32">
        <v>1</v>
      </c>
      <c r="M15" s="32">
        <v>1</v>
      </c>
    </row>
    <row r="16" spans="1:13" ht="47.85" customHeight="1">
      <c r="A16" s="226">
        <v>9</v>
      </c>
      <c r="B16" s="107">
        <v>2025</v>
      </c>
      <c r="C16" s="105" t="s">
        <v>403</v>
      </c>
      <c r="D16" s="427" t="s">
        <v>18</v>
      </c>
      <c r="E16" s="427"/>
      <c r="F16" s="99">
        <f>H16*1.3</f>
        <v>1283634.365</v>
      </c>
      <c r="G16" s="211">
        <f>F16*0.6</f>
        <v>770180.61899999995</v>
      </c>
      <c r="H16" s="211">
        <v>987411.05</v>
      </c>
      <c r="I16" s="101">
        <f t="shared" si="0"/>
        <v>493705.52500000002</v>
      </c>
      <c r="J16" s="55">
        <f t="shared" si="1"/>
        <v>0.76923076923076927</v>
      </c>
      <c r="K16" s="20" t="s">
        <v>19</v>
      </c>
      <c r="L16" s="55">
        <v>1</v>
      </c>
      <c r="M16" s="55">
        <v>1</v>
      </c>
    </row>
    <row r="17" spans="1:14" ht="38.049999999999997">
      <c r="A17" s="227">
        <f t="shared" ref="A17" si="5">A16+1</f>
        <v>10</v>
      </c>
      <c r="B17" s="108">
        <v>2025</v>
      </c>
      <c r="C17" s="178" t="s">
        <v>135</v>
      </c>
      <c r="D17" s="355" t="s">
        <v>150</v>
      </c>
      <c r="E17" s="355"/>
      <c r="F17" s="92">
        <f>223708.47/1.16</f>
        <v>192852.12931034484</v>
      </c>
      <c r="G17" s="93">
        <v>126329.91</v>
      </c>
      <c r="H17" s="93">
        <v>69772.92</v>
      </c>
      <c r="I17" s="94">
        <v>34886.46</v>
      </c>
      <c r="J17" s="32">
        <f>H17/F17</f>
        <v>0.36179491639274985</v>
      </c>
      <c r="K17" s="18" t="s">
        <v>22</v>
      </c>
      <c r="L17" s="32">
        <v>1</v>
      </c>
      <c r="M17" s="32">
        <v>1</v>
      </c>
    </row>
    <row r="18" spans="1:14" ht="38.049999999999997">
      <c r="A18" s="226">
        <v>11</v>
      </c>
      <c r="B18" s="107">
        <v>2025</v>
      </c>
      <c r="C18" s="179" t="s">
        <v>134</v>
      </c>
      <c r="D18" s="332" t="s">
        <v>150</v>
      </c>
      <c r="E18" s="332"/>
      <c r="F18" s="99">
        <f>570823.5/1.16</f>
        <v>492089.22413793107</v>
      </c>
      <c r="G18" s="100">
        <v>310634.21000000002</v>
      </c>
      <c r="H18" s="100">
        <v>183128.12</v>
      </c>
      <c r="I18" s="101">
        <f t="shared" ref="I18:I29" si="6">H18/2</f>
        <v>91564.06</v>
      </c>
      <c r="J18" s="55">
        <f>H18/F18</f>
        <v>0.37214413772383226</v>
      </c>
      <c r="K18" s="20" t="s">
        <v>22</v>
      </c>
      <c r="L18" s="55">
        <v>1</v>
      </c>
      <c r="M18" s="55">
        <v>1</v>
      </c>
    </row>
    <row r="19" spans="1:14" ht="39.6" customHeight="1">
      <c r="A19" s="227">
        <f t="shared" ref="A19" si="7">A18+1</f>
        <v>12</v>
      </c>
      <c r="B19" s="108">
        <v>2025</v>
      </c>
      <c r="C19" s="178" t="s">
        <v>137</v>
      </c>
      <c r="D19" s="355" t="s">
        <v>150</v>
      </c>
      <c r="E19" s="355"/>
      <c r="F19" s="92">
        <v>128019.23</v>
      </c>
      <c r="G19" s="93">
        <f>F19-H19</f>
        <v>96014.422500000001</v>
      </c>
      <c r="H19" s="93">
        <f>F19*0.25</f>
        <v>32004.807499999999</v>
      </c>
      <c r="I19" s="94">
        <f t="shared" si="6"/>
        <v>16002.403749999999</v>
      </c>
      <c r="J19" s="32">
        <f>H19/F19</f>
        <v>0.25</v>
      </c>
      <c r="K19" s="18" t="s">
        <v>22</v>
      </c>
      <c r="L19" s="32">
        <v>1</v>
      </c>
      <c r="M19" s="32">
        <v>1</v>
      </c>
    </row>
    <row r="20" spans="1:14" ht="39.6" customHeight="1">
      <c r="A20" s="226">
        <v>13</v>
      </c>
      <c r="B20" s="107">
        <v>2025</v>
      </c>
      <c r="C20" s="179" t="s">
        <v>136</v>
      </c>
      <c r="D20" s="332" t="s">
        <v>150</v>
      </c>
      <c r="E20" s="332"/>
      <c r="F20" s="99">
        <f>380094.75/1.16</f>
        <v>327667.88793103449</v>
      </c>
      <c r="G20" s="100">
        <f>F20*0.7</f>
        <v>229367.52155172412</v>
      </c>
      <c r="H20" s="100">
        <f>F20-G20</f>
        <v>98300.366379310377</v>
      </c>
      <c r="I20" s="101">
        <f t="shared" si="6"/>
        <v>49150.183189655188</v>
      </c>
      <c r="J20" s="55">
        <f>H20/F20</f>
        <v>0.3000000000000001</v>
      </c>
      <c r="K20" s="20" t="s">
        <v>22</v>
      </c>
      <c r="L20" s="55">
        <v>1</v>
      </c>
      <c r="M20" s="55">
        <v>1</v>
      </c>
    </row>
    <row r="21" spans="1:14" ht="39.6" customHeight="1">
      <c r="A21" s="227">
        <f t="shared" ref="A21" si="8">A20+1</f>
        <v>14</v>
      </c>
      <c r="B21" s="108">
        <v>2025</v>
      </c>
      <c r="C21" s="178" t="s">
        <v>138</v>
      </c>
      <c r="D21" s="355" t="s">
        <v>150</v>
      </c>
      <c r="E21" s="355"/>
      <c r="F21" s="92">
        <v>807015.12</v>
      </c>
      <c r="G21" s="93">
        <f>F21-H21</f>
        <v>605261.34</v>
      </c>
      <c r="H21" s="93">
        <f>F21*0.25</f>
        <v>201753.78</v>
      </c>
      <c r="I21" s="94">
        <f t="shared" si="6"/>
        <v>100876.89</v>
      </c>
      <c r="J21" s="32">
        <f t="shared" ref="J21:J26" si="9">H21/F21</f>
        <v>0.25</v>
      </c>
      <c r="K21" s="18" t="s">
        <v>22</v>
      </c>
      <c r="L21" s="32">
        <v>1</v>
      </c>
      <c r="M21" s="32">
        <v>1</v>
      </c>
      <c r="N21" s="169"/>
    </row>
    <row r="22" spans="1:14">
      <c r="A22" s="226">
        <v>15</v>
      </c>
      <c r="B22" s="107">
        <v>2025</v>
      </c>
      <c r="C22" s="105" t="s">
        <v>128</v>
      </c>
      <c r="D22" s="429" t="s">
        <v>303</v>
      </c>
      <c r="E22" s="429"/>
      <c r="F22" s="99">
        <v>2479374.77</v>
      </c>
      <c r="G22" s="100">
        <v>1521616.72</v>
      </c>
      <c r="H22" s="100">
        <f>F22-G22</f>
        <v>957758.05</v>
      </c>
      <c r="I22" s="101">
        <f t="shared" si="6"/>
        <v>478879.02500000002</v>
      </c>
      <c r="J22" s="55">
        <f t="shared" si="9"/>
        <v>0.38629014927017269</v>
      </c>
      <c r="K22" s="20" t="s">
        <v>22</v>
      </c>
      <c r="L22" s="55">
        <v>1</v>
      </c>
      <c r="M22" s="55">
        <v>1</v>
      </c>
    </row>
    <row r="23" spans="1:14">
      <c r="A23" s="227">
        <f t="shared" ref="A23" si="10">A22+1</f>
        <v>16</v>
      </c>
      <c r="B23" s="108">
        <v>2025</v>
      </c>
      <c r="C23" s="106" t="s">
        <v>129</v>
      </c>
      <c r="D23" s="428" t="s">
        <v>143</v>
      </c>
      <c r="E23" s="428"/>
      <c r="F23" s="92">
        <v>21521.34</v>
      </c>
      <c r="G23" s="93">
        <v>18561.16</v>
      </c>
      <c r="H23" s="93">
        <f>F23-G23</f>
        <v>2960.1800000000003</v>
      </c>
      <c r="I23" s="94">
        <f t="shared" si="6"/>
        <v>1480.0900000000001</v>
      </c>
      <c r="J23" s="32">
        <f>H23/F23</f>
        <v>0.13754626802977882</v>
      </c>
      <c r="K23" s="18" t="s">
        <v>19</v>
      </c>
      <c r="L23" s="32">
        <v>1</v>
      </c>
      <c r="M23" s="32">
        <v>0</v>
      </c>
    </row>
    <row r="24" spans="1:14">
      <c r="A24" s="226">
        <v>17</v>
      </c>
      <c r="B24" s="107">
        <v>2025</v>
      </c>
      <c r="C24" s="105" t="s">
        <v>142</v>
      </c>
      <c r="D24" s="427" t="s">
        <v>143</v>
      </c>
      <c r="E24" s="427"/>
      <c r="F24" s="99">
        <v>33450</v>
      </c>
      <c r="G24" s="100">
        <v>21000</v>
      </c>
      <c r="H24" s="100">
        <v>9064.6299999999992</v>
      </c>
      <c r="I24" s="101">
        <f t="shared" si="6"/>
        <v>4532.3149999999996</v>
      </c>
      <c r="J24" s="55">
        <f t="shared" si="9"/>
        <v>0.27099043348281016</v>
      </c>
      <c r="K24" s="20" t="s">
        <v>19</v>
      </c>
      <c r="L24" s="55">
        <v>1</v>
      </c>
      <c r="M24" s="55">
        <v>1</v>
      </c>
    </row>
    <row r="25" spans="1:14" ht="68.7" customHeight="1">
      <c r="A25" s="227">
        <f t="shared" ref="A25" si="11">A24+1</f>
        <v>18</v>
      </c>
      <c r="B25" s="108">
        <v>2025</v>
      </c>
      <c r="C25" s="200" t="s">
        <v>151</v>
      </c>
      <c r="D25" s="355" t="s">
        <v>150</v>
      </c>
      <c r="E25" s="355"/>
      <c r="F25" s="201">
        <v>756023.25</v>
      </c>
      <c r="G25" s="202">
        <v>585545.9</v>
      </c>
      <c r="H25" s="202">
        <v>165802.98000000001</v>
      </c>
      <c r="I25" s="203">
        <f t="shared" si="6"/>
        <v>82901.490000000005</v>
      </c>
      <c r="J25" s="204">
        <f>H25/F25</f>
        <v>0.21930936647781668</v>
      </c>
      <c r="K25" s="205" t="s">
        <v>22</v>
      </c>
      <c r="L25" s="204">
        <v>1</v>
      </c>
      <c r="M25" s="204">
        <v>1</v>
      </c>
    </row>
    <row r="26" spans="1:14" ht="50.7">
      <c r="A26" s="226">
        <v>19</v>
      </c>
      <c r="B26" s="107">
        <v>2025</v>
      </c>
      <c r="C26" s="228" t="s">
        <v>152</v>
      </c>
      <c r="D26" s="332" t="s">
        <v>150</v>
      </c>
      <c r="E26" s="332"/>
      <c r="F26" s="90">
        <v>585168.52</v>
      </c>
      <c r="G26" s="90">
        <v>455181.06</v>
      </c>
      <c r="H26" s="90">
        <v>119323.64</v>
      </c>
      <c r="I26" s="91">
        <f t="shared" si="6"/>
        <v>59661.82</v>
      </c>
      <c r="J26" s="46">
        <f t="shared" si="9"/>
        <v>0.20391329321679846</v>
      </c>
      <c r="K26" s="47" t="s">
        <v>22</v>
      </c>
      <c r="L26" s="46">
        <v>1</v>
      </c>
      <c r="M26" s="46">
        <v>1</v>
      </c>
    </row>
    <row r="27" spans="1:14" ht="50.7">
      <c r="A27" s="227">
        <f t="shared" ref="A27" si="12">A26+1</f>
        <v>20</v>
      </c>
      <c r="B27" s="108">
        <v>2025</v>
      </c>
      <c r="C27" s="229" t="s">
        <v>193</v>
      </c>
      <c r="D27" s="355" t="s">
        <v>150</v>
      </c>
      <c r="E27" s="355"/>
      <c r="F27" s="88">
        <f>463416.98/1.16</f>
        <v>399497.39655172417</v>
      </c>
      <c r="G27" s="88">
        <v>255421.5</v>
      </c>
      <c r="H27" s="88">
        <v>113420.73</v>
      </c>
      <c r="I27" s="89">
        <f t="shared" si="6"/>
        <v>56710.364999999998</v>
      </c>
      <c r="J27" s="43">
        <f>H27/F27</f>
        <v>0.28390855855130726</v>
      </c>
      <c r="K27" s="44" t="s">
        <v>22</v>
      </c>
      <c r="L27" s="43">
        <v>1</v>
      </c>
      <c r="M27" s="43">
        <v>1</v>
      </c>
    </row>
    <row r="28" spans="1:14" ht="61.2" customHeight="1">
      <c r="A28" s="226">
        <v>21</v>
      </c>
      <c r="B28" s="107">
        <v>2025</v>
      </c>
      <c r="C28" s="233" t="s">
        <v>263</v>
      </c>
      <c r="D28" s="332" t="s">
        <v>150</v>
      </c>
      <c r="E28" s="332"/>
      <c r="F28" s="90">
        <f>1660622.59/1.16</f>
        <v>1431571.1982758623</v>
      </c>
      <c r="G28" s="90">
        <v>1102965.07</v>
      </c>
      <c r="H28" s="90">
        <v>414460.4</v>
      </c>
      <c r="I28" s="91">
        <f t="shared" si="6"/>
        <v>207230.2</v>
      </c>
      <c r="J28" s="46">
        <f>H28/F28</f>
        <v>0.28951434654396696</v>
      </c>
      <c r="K28" s="47" t="s">
        <v>22</v>
      </c>
      <c r="L28" s="46">
        <v>1</v>
      </c>
      <c r="M28" s="46">
        <v>1</v>
      </c>
    </row>
    <row r="29" spans="1:14" ht="50.25" customHeight="1">
      <c r="A29" s="226">
        <v>22</v>
      </c>
      <c r="B29" s="107">
        <v>2026</v>
      </c>
      <c r="C29" s="105" t="s">
        <v>403</v>
      </c>
      <c r="D29" s="427" t="s">
        <v>406</v>
      </c>
      <c r="E29" s="427"/>
      <c r="F29" s="99">
        <f>H29*1.3</f>
        <v>1283634.365</v>
      </c>
      <c r="G29" s="211">
        <f>F29*0.6</f>
        <v>770180.61899999995</v>
      </c>
      <c r="H29" s="211">
        <v>987411.05</v>
      </c>
      <c r="I29" s="101">
        <f t="shared" si="6"/>
        <v>493705.52500000002</v>
      </c>
      <c r="J29" s="55">
        <f t="shared" ref="J29" si="13">H29/F29</f>
        <v>0.76923076923076927</v>
      </c>
      <c r="K29" s="20" t="s">
        <v>19</v>
      </c>
      <c r="L29" s="55">
        <f>5/12</f>
        <v>0.41666666666666669</v>
      </c>
      <c r="M29" s="55">
        <f>3/12</f>
        <v>0.25</v>
      </c>
    </row>
    <row r="30" spans="1:14" ht="25.35">
      <c r="A30" s="227">
        <v>23</v>
      </c>
      <c r="B30" s="108">
        <v>2026</v>
      </c>
      <c r="C30" s="229" t="s">
        <v>400</v>
      </c>
      <c r="D30" s="355" t="s">
        <v>401</v>
      </c>
      <c r="E30" s="355"/>
      <c r="F30" s="88"/>
      <c r="G30" s="88"/>
      <c r="H30" s="88"/>
      <c r="I30" s="89"/>
      <c r="J30" s="43"/>
      <c r="K30" s="44" t="s">
        <v>305</v>
      </c>
      <c r="L30" s="43"/>
      <c r="M30" s="43"/>
    </row>
    <row r="31" spans="1:14" ht="16.149999999999999">
      <c r="A31" s="197"/>
      <c r="B31" s="197"/>
      <c r="C31" s="198"/>
      <c r="D31" s="198"/>
      <c r="E31" s="199" t="s">
        <v>20</v>
      </c>
      <c r="F31" s="180">
        <f>SUM(F8:F30)</f>
        <v>30341627.363448273</v>
      </c>
      <c r="G31" s="180">
        <f t="shared" ref="G31:I31" si="14">SUM(G8:G30)</f>
        <v>18154950.232051723</v>
      </c>
      <c r="H31" s="180">
        <f t="shared" si="14"/>
        <v>10226253.419989657</v>
      </c>
      <c r="I31" s="180">
        <f t="shared" si="14"/>
        <v>5113126.7099948283</v>
      </c>
      <c r="J31" s="198"/>
      <c r="K31" s="198"/>
      <c r="L31" s="198"/>
      <c r="M31" s="198"/>
    </row>
    <row r="32" spans="1:14">
      <c r="A32" s="66"/>
      <c r="B32" s="66"/>
    </row>
    <row r="33" spans="1:8">
      <c r="A33" s="66"/>
      <c r="B33" s="66"/>
      <c r="E33" s="322" t="s">
        <v>21</v>
      </c>
      <c r="F33" s="322"/>
      <c r="G33" s="322"/>
      <c r="H33" s="46">
        <f>H31/F31</f>
        <v>0.3370370777247414</v>
      </c>
    </row>
    <row r="34" spans="1:8">
      <c r="A34" s="66"/>
      <c r="B34" s="66"/>
    </row>
    <row r="35" spans="1:8">
      <c r="A35" s="66"/>
      <c r="B35" s="66"/>
    </row>
    <row r="36" spans="1:8">
      <c r="A36" s="66"/>
      <c r="B36" s="66"/>
    </row>
    <row r="37" spans="1:8">
      <c r="A37" s="66"/>
      <c r="B37" s="66"/>
    </row>
    <row r="38" spans="1:8">
      <c r="A38" s="66"/>
      <c r="B38" s="66"/>
    </row>
    <row r="39" spans="1:8">
      <c r="A39" s="66"/>
      <c r="B39" s="66"/>
    </row>
    <row r="40" spans="1:8">
      <c r="A40" s="66"/>
      <c r="B40" s="66"/>
    </row>
    <row r="41" spans="1:8">
      <c r="A41" s="66"/>
      <c r="B41" s="66"/>
    </row>
    <row r="42" spans="1:8">
      <c r="A42" s="66"/>
      <c r="B42" s="66"/>
    </row>
    <row r="43" spans="1:8">
      <c r="A43" s="66"/>
      <c r="B43" s="66"/>
    </row>
    <row r="44" spans="1:8">
      <c r="A44" s="66"/>
      <c r="B44" s="66"/>
    </row>
    <row r="45" spans="1:8">
      <c r="A45" s="66"/>
      <c r="B45" s="66"/>
    </row>
    <row r="46" spans="1:8">
      <c r="A46" s="66"/>
      <c r="B46" s="66"/>
    </row>
    <row r="47" spans="1:8">
      <c r="A47" s="66"/>
      <c r="B47" s="66"/>
    </row>
    <row r="48" spans="1:8">
      <c r="A48" s="66"/>
      <c r="B48" s="66"/>
    </row>
    <row r="49" spans="1:2">
      <c r="A49" s="66"/>
      <c r="B49" s="66"/>
    </row>
    <row r="50" spans="1:2">
      <c r="A50" s="66"/>
      <c r="B50" s="66"/>
    </row>
    <row r="51" spans="1:2">
      <c r="A51" s="66"/>
      <c r="B51" s="66"/>
    </row>
    <row r="52" spans="1:2">
      <c r="A52" s="66"/>
      <c r="B52" s="66"/>
    </row>
    <row r="53" spans="1:2">
      <c r="A53" s="66"/>
      <c r="B53" s="66"/>
    </row>
    <row r="54" spans="1:2">
      <c r="A54" s="66"/>
      <c r="B54" s="66"/>
    </row>
    <row r="55" spans="1:2">
      <c r="A55" s="66"/>
      <c r="B55" s="66"/>
    </row>
    <row r="56" spans="1:2">
      <c r="A56" s="66"/>
      <c r="B56" s="66"/>
    </row>
    <row r="57" spans="1:2">
      <c r="A57" s="66"/>
      <c r="B57" s="66"/>
    </row>
    <row r="58" spans="1:2">
      <c r="A58" s="66"/>
      <c r="B58" s="66"/>
    </row>
    <row r="59" spans="1:2">
      <c r="A59" s="66"/>
      <c r="B59" s="66"/>
    </row>
    <row r="60" spans="1:2">
      <c r="A60" s="66"/>
      <c r="B60" s="66"/>
    </row>
    <row r="61" spans="1:2">
      <c r="A61" s="66"/>
      <c r="B61" s="66"/>
    </row>
    <row r="62" spans="1:2">
      <c r="A62" s="66"/>
      <c r="B62" s="66"/>
    </row>
    <row r="63" spans="1:2">
      <c r="A63" s="66"/>
      <c r="B63" s="66"/>
    </row>
    <row r="64" spans="1:2">
      <c r="A64" s="66"/>
      <c r="B64" s="66"/>
    </row>
    <row r="65" spans="1:2">
      <c r="A65" s="66"/>
      <c r="B65" s="66"/>
    </row>
    <row r="66" spans="1:2">
      <c r="A66" s="66"/>
      <c r="B66" s="66"/>
    </row>
    <row r="67" spans="1:2">
      <c r="A67" s="66"/>
      <c r="B67" s="66"/>
    </row>
    <row r="68" spans="1:2">
      <c r="A68" s="66"/>
      <c r="B68" s="66"/>
    </row>
    <row r="69" spans="1:2">
      <c r="A69" s="66"/>
      <c r="B69" s="66"/>
    </row>
    <row r="70" spans="1:2">
      <c r="A70" s="66"/>
      <c r="B70" s="66"/>
    </row>
    <row r="71" spans="1:2">
      <c r="A71" s="66"/>
      <c r="B71" s="66"/>
    </row>
    <row r="72" spans="1:2">
      <c r="A72" s="66"/>
      <c r="B72" s="66"/>
    </row>
    <row r="73" spans="1:2">
      <c r="A73" s="66"/>
      <c r="B73" s="66"/>
    </row>
    <row r="74" spans="1:2">
      <c r="A74" s="66"/>
      <c r="B74" s="66"/>
    </row>
    <row r="75" spans="1:2">
      <c r="A75" s="66"/>
      <c r="B75" s="66"/>
    </row>
    <row r="76" spans="1:2">
      <c r="A76" s="66"/>
      <c r="B76" s="66"/>
    </row>
    <row r="77" spans="1:2">
      <c r="A77" s="66"/>
      <c r="B77" s="66"/>
    </row>
    <row r="78" spans="1:2">
      <c r="A78" s="66"/>
      <c r="B78" s="66"/>
    </row>
    <row r="79" spans="1:2">
      <c r="A79" s="66"/>
      <c r="B79" s="66"/>
    </row>
    <row r="80" spans="1:2">
      <c r="A80" s="66"/>
      <c r="B80" s="66"/>
    </row>
    <row r="81" spans="1:2">
      <c r="A81" s="66"/>
      <c r="B81" s="66"/>
    </row>
    <row r="82" spans="1:2">
      <c r="A82" s="66"/>
      <c r="B82" s="66"/>
    </row>
    <row r="83" spans="1:2">
      <c r="A83" s="66"/>
      <c r="B83" s="66"/>
    </row>
    <row r="84" spans="1:2">
      <c r="A84" s="66"/>
      <c r="B84" s="66"/>
    </row>
    <row r="85" spans="1:2">
      <c r="A85" s="66"/>
      <c r="B85" s="66"/>
    </row>
    <row r="86" spans="1:2">
      <c r="A86" s="66"/>
      <c r="B86" s="66"/>
    </row>
    <row r="87" spans="1:2">
      <c r="A87" s="66"/>
      <c r="B87" s="66"/>
    </row>
    <row r="88" spans="1:2">
      <c r="A88" s="66"/>
      <c r="B88" s="66"/>
    </row>
    <row r="89" spans="1:2">
      <c r="A89" s="66"/>
      <c r="B89" s="66"/>
    </row>
    <row r="90" spans="1:2">
      <c r="A90" s="66"/>
      <c r="B90" s="66"/>
    </row>
    <row r="91" spans="1:2">
      <c r="A91" s="66"/>
      <c r="B91" s="66"/>
    </row>
    <row r="92" spans="1:2">
      <c r="A92" s="66"/>
      <c r="B92" s="66"/>
    </row>
    <row r="93" spans="1:2">
      <c r="A93" s="66"/>
      <c r="B93" s="66"/>
    </row>
    <row r="94" spans="1:2">
      <c r="A94" s="66"/>
      <c r="B94" s="66"/>
    </row>
    <row r="95" spans="1:2">
      <c r="A95" s="66"/>
      <c r="B95" s="66"/>
    </row>
    <row r="96" spans="1:2">
      <c r="A96" s="66"/>
      <c r="B96" s="66"/>
    </row>
    <row r="97" spans="1:2">
      <c r="A97" s="66"/>
      <c r="B97" s="66"/>
    </row>
    <row r="98" spans="1:2">
      <c r="A98" s="66"/>
      <c r="B98" s="66"/>
    </row>
    <row r="99" spans="1:2">
      <c r="A99" s="66"/>
      <c r="B99" s="66"/>
    </row>
    <row r="100" spans="1:2">
      <c r="A100" s="66"/>
      <c r="B100" s="66"/>
    </row>
    <row r="101" spans="1:2">
      <c r="A101" s="66"/>
      <c r="B101" s="66"/>
    </row>
    <row r="102" spans="1:2">
      <c r="A102" s="66"/>
      <c r="B102" s="66"/>
    </row>
    <row r="103" spans="1:2">
      <c r="A103" s="66"/>
      <c r="B103" s="66"/>
    </row>
    <row r="104" spans="1:2">
      <c r="A104" s="66"/>
      <c r="B104" s="66"/>
    </row>
    <row r="105" spans="1:2">
      <c r="A105" s="66"/>
      <c r="B105" s="66"/>
    </row>
    <row r="106" spans="1:2">
      <c r="A106" s="66"/>
      <c r="B106" s="66"/>
    </row>
    <row r="107" spans="1:2">
      <c r="A107" s="66"/>
      <c r="B107" s="66"/>
    </row>
    <row r="108" spans="1:2">
      <c r="A108" s="66"/>
      <c r="B108" s="66"/>
    </row>
    <row r="109" spans="1:2">
      <c r="A109" s="66"/>
      <c r="B109" s="66"/>
    </row>
    <row r="110" spans="1:2">
      <c r="A110" s="66"/>
      <c r="B110" s="66"/>
    </row>
    <row r="111" spans="1:2">
      <c r="A111" s="66"/>
      <c r="B111" s="66"/>
    </row>
    <row r="112" spans="1:2">
      <c r="A112" s="66"/>
      <c r="B112" s="66"/>
    </row>
    <row r="113" spans="1:2">
      <c r="A113" s="66"/>
      <c r="B113" s="66"/>
    </row>
    <row r="114" spans="1:2">
      <c r="A114" s="66"/>
      <c r="B114" s="66"/>
    </row>
    <row r="115" spans="1:2">
      <c r="A115" s="66"/>
      <c r="B115" s="66"/>
    </row>
    <row r="116" spans="1:2">
      <c r="A116" s="66"/>
      <c r="B116" s="66"/>
    </row>
    <row r="117" spans="1:2">
      <c r="A117" s="66"/>
      <c r="B117" s="66"/>
    </row>
    <row r="118" spans="1:2">
      <c r="A118" s="66"/>
      <c r="B118" s="66"/>
    </row>
    <row r="119" spans="1:2">
      <c r="A119" s="66"/>
      <c r="B119" s="66"/>
    </row>
    <row r="120" spans="1:2">
      <c r="A120" s="66"/>
      <c r="B120" s="66"/>
    </row>
    <row r="121" spans="1:2">
      <c r="A121" s="66"/>
      <c r="B121" s="66"/>
    </row>
    <row r="122" spans="1:2">
      <c r="A122" s="66"/>
      <c r="B122" s="66"/>
    </row>
    <row r="123" spans="1:2">
      <c r="A123" s="66"/>
      <c r="B123" s="66"/>
    </row>
    <row r="124" spans="1:2">
      <c r="A124" s="66"/>
      <c r="B124" s="66"/>
    </row>
    <row r="125" spans="1:2">
      <c r="A125" s="66"/>
      <c r="B125" s="66"/>
    </row>
    <row r="126" spans="1:2">
      <c r="A126" s="66"/>
      <c r="B126" s="66"/>
    </row>
    <row r="127" spans="1:2">
      <c r="A127" s="66"/>
      <c r="B127" s="66"/>
    </row>
    <row r="128" spans="1:2">
      <c r="A128" s="66"/>
      <c r="B128" s="66"/>
    </row>
    <row r="129" spans="1:2">
      <c r="A129" s="66"/>
      <c r="B129" s="66"/>
    </row>
    <row r="130" spans="1:2">
      <c r="A130" s="66"/>
      <c r="B130" s="66"/>
    </row>
    <row r="131" spans="1:2">
      <c r="A131" s="66"/>
      <c r="B131" s="66"/>
    </row>
    <row r="132" spans="1:2">
      <c r="A132" s="66"/>
      <c r="B132" s="66"/>
    </row>
    <row r="133" spans="1:2">
      <c r="A133" s="66"/>
      <c r="B133" s="66"/>
    </row>
    <row r="134" spans="1:2">
      <c r="A134" s="66"/>
      <c r="B134" s="66"/>
    </row>
    <row r="135" spans="1:2">
      <c r="A135" s="66"/>
      <c r="B135" s="66"/>
    </row>
    <row r="136" spans="1:2">
      <c r="A136" s="66"/>
      <c r="B136" s="66"/>
    </row>
    <row r="137" spans="1:2">
      <c r="A137" s="66"/>
      <c r="B137" s="66"/>
    </row>
    <row r="138" spans="1:2">
      <c r="A138" s="66"/>
      <c r="B138" s="66"/>
    </row>
    <row r="139" spans="1:2">
      <c r="A139" s="66"/>
      <c r="B139" s="66"/>
    </row>
    <row r="140" spans="1:2">
      <c r="A140" s="66"/>
      <c r="B140" s="66"/>
    </row>
    <row r="141" spans="1:2">
      <c r="A141" s="66"/>
      <c r="B141" s="66"/>
    </row>
    <row r="142" spans="1:2">
      <c r="A142" s="66"/>
      <c r="B142" s="66"/>
    </row>
    <row r="143" spans="1:2">
      <c r="A143" s="66"/>
      <c r="B143" s="66"/>
    </row>
    <row r="144" spans="1:2">
      <c r="A144" s="66"/>
      <c r="B144" s="66"/>
    </row>
    <row r="145" spans="1:2">
      <c r="A145" s="66"/>
      <c r="B145" s="66"/>
    </row>
    <row r="146" spans="1:2">
      <c r="A146" s="66"/>
      <c r="B146" s="66"/>
    </row>
    <row r="147" spans="1:2">
      <c r="A147" s="66"/>
      <c r="B147" s="66"/>
    </row>
    <row r="148" spans="1:2">
      <c r="A148" s="66"/>
      <c r="B148" s="66"/>
    </row>
    <row r="149" spans="1:2">
      <c r="A149" s="66"/>
      <c r="B149" s="66"/>
    </row>
    <row r="150" spans="1:2">
      <c r="A150" s="66"/>
      <c r="B150" s="66"/>
    </row>
    <row r="151" spans="1:2">
      <c r="A151" s="66"/>
      <c r="B151" s="66"/>
    </row>
    <row r="152" spans="1:2">
      <c r="A152" s="66"/>
      <c r="B152" s="66"/>
    </row>
    <row r="153" spans="1:2">
      <c r="A153" s="66"/>
      <c r="B153" s="66"/>
    </row>
    <row r="154" spans="1:2">
      <c r="A154" s="66"/>
      <c r="B154" s="66"/>
    </row>
    <row r="155" spans="1:2">
      <c r="A155" s="66"/>
      <c r="B155" s="66"/>
    </row>
    <row r="156" spans="1:2">
      <c r="A156" s="66"/>
      <c r="B156" s="66"/>
    </row>
    <row r="157" spans="1:2">
      <c r="A157" s="66"/>
      <c r="B157" s="66"/>
    </row>
    <row r="158" spans="1:2">
      <c r="A158" s="66"/>
      <c r="B158" s="66"/>
    </row>
    <row r="159" spans="1:2">
      <c r="A159" s="66"/>
      <c r="B159" s="66"/>
    </row>
    <row r="160" spans="1:2">
      <c r="A160" s="66"/>
      <c r="B160" s="66"/>
    </row>
    <row r="161" spans="1:2">
      <c r="A161" s="66"/>
      <c r="B161" s="66"/>
    </row>
    <row r="162" spans="1:2">
      <c r="A162" s="66"/>
      <c r="B162" s="66"/>
    </row>
    <row r="163" spans="1:2">
      <c r="A163" s="66"/>
      <c r="B163" s="66"/>
    </row>
    <row r="164" spans="1:2">
      <c r="A164" s="66"/>
      <c r="B164" s="66"/>
    </row>
    <row r="165" spans="1:2">
      <c r="A165" s="66"/>
      <c r="B165" s="66"/>
    </row>
    <row r="166" spans="1:2">
      <c r="A166" s="66"/>
      <c r="B166" s="66"/>
    </row>
    <row r="167" spans="1:2">
      <c r="A167" s="66"/>
      <c r="B167" s="66"/>
    </row>
    <row r="168" spans="1:2">
      <c r="A168" s="66"/>
      <c r="B168" s="66"/>
    </row>
    <row r="169" spans="1:2">
      <c r="A169" s="66"/>
      <c r="B169" s="66"/>
    </row>
    <row r="170" spans="1:2">
      <c r="A170" s="66"/>
      <c r="B170" s="66"/>
    </row>
    <row r="171" spans="1:2">
      <c r="A171" s="66"/>
      <c r="B171" s="66"/>
    </row>
    <row r="172" spans="1:2">
      <c r="A172" s="66"/>
      <c r="B172" s="66"/>
    </row>
    <row r="173" spans="1:2">
      <c r="A173" s="66"/>
      <c r="B173" s="66"/>
    </row>
    <row r="174" spans="1:2">
      <c r="A174" s="66"/>
      <c r="B174" s="66"/>
    </row>
    <row r="175" spans="1:2">
      <c r="A175" s="66"/>
      <c r="B175" s="66"/>
    </row>
    <row r="176" spans="1:2">
      <c r="A176" s="66"/>
      <c r="B176" s="66"/>
    </row>
    <row r="177" spans="1:2">
      <c r="A177" s="66"/>
      <c r="B177" s="66"/>
    </row>
    <row r="178" spans="1:2">
      <c r="A178" s="66"/>
      <c r="B178" s="66"/>
    </row>
    <row r="179" spans="1:2">
      <c r="A179" s="66"/>
      <c r="B179" s="66"/>
    </row>
    <row r="180" spans="1:2">
      <c r="A180" s="66"/>
      <c r="B180" s="66"/>
    </row>
    <row r="181" spans="1:2">
      <c r="A181" s="66"/>
      <c r="B181" s="66"/>
    </row>
    <row r="182" spans="1:2">
      <c r="A182" s="66"/>
      <c r="B182" s="66"/>
    </row>
    <row r="183" spans="1:2">
      <c r="A183" s="66"/>
      <c r="B183" s="66"/>
    </row>
    <row r="184" spans="1:2">
      <c r="A184" s="66"/>
      <c r="B184" s="66"/>
    </row>
    <row r="185" spans="1:2">
      <c r="A185" s="66"/>
      <c r="B185" s="66"/>
    </row>
    <row r="186" spans="1:2">
      <c r="A186" s="66"/>
      <c r="B186" s="66"/>
    </row>
    <row r="187" spans="1:2">
      <c r="A187" s="66"/>
      <c r="B187" s="66"/>
    </row>
    <row r="188" spans="1:2">
      <c r="A188" s="66"/>
      <c r="B188" s="66"/>
    </row>
    <row r="189" spans="1:2">
      <c r="A189" s="66"/>
      <c r="B189" s="66"/>
    </row>
    <row r="190" spans="1:2">
      <c r="A190" s="66"/>
      <c r="B190" s="66"/>
    </row>
    <row r="191" spans="1:2">
      <c r="A191" s="66"/>
      <c r="B191" s="66"/>
    </row>
    <row r="192" spans="1:2">
      <c r="A192" s="66"/>
      <c r="B192" s="66"/>
    </row>
    <row r="193" spans="1:2">
      <c r="A193" s="66"/>
      <c r="B193" s="66"/>
    </row>
    <row r="194" spans="1:2">
      <c r="A194" s="66"/>
      <c r="B194" s="66"/>
    </row>
    <row r="195" spans="1:2">
      <c r="A195" s="66"/>
      <c r="B195" s="66"/>
    </row>
    <row r="196" spans="1:2">
      <c r="A196" s="66"/>
      <c r="B196" s="66"/>
    </row>
    <row r="197" spans="1:2">
      <c r="A197" s="66"/>
      <c r="B197" s="66"/>
    </row>
    <row r="198" spans="1:2">
      <c r="A198" s="66"/>
      <c r="B198" s="66"/>
    </row>
    <row r="199" spans="1:2">
      <c r="A199" s="66"/>
      <c r="B199" s="66"/>
    </row>
    <row r="200" spans="1:2">
      <c r="A200" s="66"/>
      <c r="B200" s="66"/>
    </row>
    <row r="201" spans="1:2">
      <c r="A201" s="66"/>
      <c r="B201" s="66"/>
    </row>
    <row r="202" spans="1:2">
      <c r="A202" s="66"/>
      <c r="B202" s="66"/>
    </row>
    <row r="203" spans="1:2">
      <c r="A203" s="66"/>
      <c r="B203" s="66"/>
    </row>
    <row r="204" spans="1:2">
      <c r="A204" s="66"/>
      <c r="B204" s="66"/>
    </row>
    <row r="205" spans="1:2">
      <c r="A205" s="66"/>
      <c r="B205" s="66"/>
    </row>
    <row r="206" spans="1:2">
      <c r="A206" s="66"/>
      <c r="B206" s="66"/>
    </row>
    <row r="207" spans="1:2">
      <c r="A207" s="66"/>
      <c r="B207" s="66"/>
    </row>
    <row r="208" spans="1:2">
      <c r="A208" s="66"/>
      <c r="B208" s="66"/>
    </row>
    <row r="209" spans="1:2">
      <c r="A209" s="66"/>
      <c r="B209" s="66"/>
    </row>
    <row r="210" spans="1:2">
      <c r="A210" s="66"/>
      <c r="B210" s="66"/>
    </row>
    <row r="211" spans="1:2">
      <c r="A211" s="66"/>
      <c r="B211" s="66"/>
    </row>
    <row r="212" spans="1:2">
      <c r="A212" s="66"/>
      <c r="B212" s="66"/>
    </row>
    <row r="213" spans="1:2">
      <c r="A213" s="66"/>
      <c r="B213" s="66"/>
    </row>
    <row r="214" spans="1:2">
      <c r="A214" s="66"/>
      <c r="B214" s="66"/>
    </row>
    <row r="215" spans="1:2">
      <c r="A215" s="66"/>
      <c r="B215" s="66"/>
    </row>
    <row r="216" spans="1:2">
      <c r="A216" s="66"/>
      <c r="B216" s="66"/>
    </row>
    <row r="217" spans="1:2">
      <c r="A217" s="66"/>
      <c r="B217" s="66"/>
    </row>
    <row r="218" spans="1:2">
      <c r="A218" s="66"/>
      <c r="B218" s="66"/>
    </row>
    <row r="219" spans="1:2">
      <c r="A219" s="66"/>
      <c r="B219" s="66"/>
    </row>
    <row r="220" spans="1:2">
      <c r="A220" s="66"/>
      <c r="B220" s="66"/>
    </row>
    <row r="221" spans="1:2">
      <c r="A221" s="66"/>
      <c r="B221" s="66"/>
    </row>
    <row r="222" spans="1:2">
      <c r="A222" s="66"/>
      <c r="B222" s="66"/>
    </row>
    <row r="223" spans="1:2">
      <c r="A223" s="66"/>
      <c r="B223" s="66"/>
    </row>
    <row r="224" spans="1:2">
      <c r="A224" s="66"/>
      <c r="B224" s="66"/>
    </row>
    <row r="225" spans="1:2">
      <c r="A225" s="66"/>
      <c r="B225" s="66"/>
    </row>
    <row r="226" spans="1:2">
      <c r="A226" s="66"/>
      <c r="B226" s="66"/>
    </row>
    <row r="227" spans="1:2">
      <c r="A227" s="66"/>
      <c r="B227" s="66"/>
    </row>
    <row r="228" spans="1:2">
      <c r="A228" s="66"/>
      <c r="B228" s="66"/>
    </row>
    <row r="229" spans="1:2">
      <c r="A229" s="66"/>
      <c r="B229" s="66"/>
    </row>
    <row r="230" spans="1:2">
      <c r="A230" s="66"/>
      <c r="B230" s="66"/>
    </row>
    <row r="231" spans="1:2">
      <c r="A231" s="66"/>
      <c r="B231" s="66"/>
    </row>
    <row r="232" spans="1:2">
      <c r="A232" s="66"/>
      <c r="B232" s="66"/>
    </row>
    <row r="233" spans="1:2">
      <c r="A233" s="66"/>
      <c r="B233" s="66"/>
    </row>
    <row r="234" spans="1:2">
      <c r="A234" s="66"/>
      <c r="B234" s="66"/>
    </row>
    <row r="235" spans="1:2">
      <c r="A235" s="66"/>
      <c r="B235" s="66"/>
    </row>
    <row r="236" spans="1:2">
      <c r="A236" s="66"/>
      <c r="B236" s="66"/>
    </row>
    <row r="237" spans="1:2">
      <c r="A237" s="66"/>
      <c r="B237" s="66"/>
    </row>
    <row r="238" spans="1:2">
      <c r="A238" s="66"/>
      <c r="B238" s="66"/>
    </row>
    <row r="239" spans="1:2">
      <c r="A239" s="66"/>
      <c r="B239" s="66"/>
    </row>
    <row r="240" spans="1:2">
      <c r="A240" s="66"/>
      <c r="B240" s="66"/>
    </row>
    <row r="241" spans="1:2">
      <c r="A241" s="66"/>
      <c r="B241" s="66"/>
    </row>
    <row r="242" spans="1:2">
      <c r="A242" s="66"/>
      <c r="B242" s="66"/>
    </row>
    <row r="243" spans="1:2">
      <c r="A243" s="66"/>
      <c r="B243" s="66"/>
    </row>
    <row r="244" spans="1:2">
      <c r="A244" s="66"/>
      <c r="B244" s="66"/>
    </row>
    <row r="245" spans="1:2">
      <c r="A245" s="66"/>
      <c r="B245" s="66"/>
    </row>
    <row r="246" spans="1:2">
      <c r="A246" s="66"/>
      <c r="B246" s="66"/>
    </row>
    <row r="247" spans="1:2">
      <c r="A247" s="66"/>
      <c r="B247" s="66"/>
    </row>
    <row r="248" spans="1:2">
      <c r="A248" s="66"/>
      <c r="B248" s="66"/>
    </row>
    <row r="249" spans="1:2">
      <c r="A249" s="66"/>
      <c r="B249" s="66"/>
    </row>
    <row r="250" spans="1:2">
      <c r="A250" s="66"/>
      <c r="B250" s="66"/>
    </row>
    <row r="251" spans="1:2">
      <c r="A251" s="66"/>
      <c r="B251" s="66"/>
    </row>
    <row r="252" spans="1:2">
      <c r="A252" s="66"/>
      <c r="B252" s="66"/>
    </row>
    <row r="253" spans="1:2">
      <c r="A253" s="66"/>
      <c r="B253" s="66"/>
    </row>
    <row r="254" spans="1:2">
      <c r="A254" s="66"/>
      <c r="B254" s="66"/>
    </row>
    <row r="255" spans="1:2">
      <c r="A255" s="66"/>
      <c r="B255" s="66"/>
    </row>
    <row r="256" spans="1:2">
      <c r="A256" s="66"/>
      <c r="B256" s="66"/>
    </row>
    <row r="257" spans="1:2">
      <c r="A257" s="66"/>
      <c r="B257" s="66"/>
    </row>
    <row r="258" spans="1:2">
      <c r="A258" s="66"/>
      <c r="B258" s="66"/>
    </row>
    <row r="259" spans="1:2">
      <c r="A259" s="66"/>
      <c r="B259" s="66"/>
    </row>
    <row r="260" spans="1:2">
      <c r="A260" s="66"/>
      <c r="B260" s="66"/>
    </row>
    <row r="261" spans="1:2">
      <c r="A261" s="66"/>
      <c r="B261" s="66"/>
    </row>
    <row r="262" spans="1:2">
      <c r="A262" s="66"/>
      <c r="B262" s="66"/>
    </row>
    <row r="263" spans="1:2">
      <c r="A263" s="66"/>
      <c r="B263" s="66"/>
    </row>
    <row r="264" spans="1:2">
      <c r="A264" s="66"/>
      <c r="B264" s="66"/>
    </row>
    <row r="265" spans="1:2">
      <c r="A265" s="66"/>
      <c r="B265" s="66"/>
    </row>
    <row r="266" spans="1:2">
      <c r="A266" s="66"/>
      <c r="B266" s="66"/>
    </row>
    <row r="267" spans="1:2">
      <c r="A267" s="66"/>
      <c r="B267" s="66"/>
    </row>
    <row r="268" spans="1:2">
      <c r="A268" s="66"/>
      <c r="B268" s="66"/>
    </row>
    <row r="269" spans="1:2">
      <c r="A269" s="66"/>
      <c r="B269" s="66"/>
    </row>
    <row r="270" spans="1:2">
      <c r="A270" s="66"/>
      <c r="B270" s="66"/>
    </row>
    <row r="271" spans="1:2">
      <c r="A271" s="66"/>
      <c r="B271" s="66"/>
    </row>
    <row r="272" spans="1:2">
      <c r="A272" s="66"/>
      <c r="B272" s="66"/>
    </row>
    <row r="273" spans="1:2">
      <c r="A273" s="66"/>
      <c r="B273" s="66"/>
    </row>
    <row r="274" spans="1:2">
      <c r="A274" s="66"/>
      <c r="B274" s="66"/>
    </row>
    <row r="275" spans="1:2">
      <c r="A275" s="66"/>
      <c r="B275" s="66"/>
    </row>
    <row r="276" spans="1:2">
      <c r="A276" s="66"/>
      <c r="B276" s="66"/>
    </row>
    <row r="277" spans="1:2">
      <c r="A277" s="66"/>
      <c r="B277" s="66"/>
    </row>
    <row r="278" spans="1:2">
      <c r="A278" s="66"/>
      <c r="B278" s="66"/>
    </row>
    <row r="279" spans="1:2">
      <c r="A279" s="66"/>
      <c r="B279" s="66"/>
    </row>
    <row r="280" spans="1:2">
      <c r="A280" s="66"/>
      <c r="B280" s="66"/>
    </row>
    <row r="281" spans="1:2">
      <c r="A281" s="66"/>
      <c r="B281" s="66"/>
    </row>
    <row r="282" spans="1:2">
      <c r="A282" s="66"/>
      <c r="B282" s="66"/>
    </row>
    <row r="283" spans="1:2">
      <c r="A283" s="66"/>
      <c r="B283" s="66"/>
    </row>
    <row r="284" spans="1:2">
      <c r="A284" s="66"/>
      <c r="B284" s="66"/>
    </row>
    <row r="285" spans="1:2">
      <c r="A285" s="66"/>
      <c r="B285" s="66"/>
    </row>
    <row r="286" spans="1:2">
      <c r="A286" s="66"/>
      <c r="B286" s="66"/>
    </row>
    <row r="287" spans="1:2">
      <c r="A287" s="66"/>
      <c r="B287" s="66"/>
    </row>
    <row r="288" spans="1:2">
      <c r="A288" s="66"/>
      <c r="B288" s="66"/>
    </row>
    <row r="289" spans="1:2">
      <c r="A289" s="66"/>
      <c r="B289" s="66"/>
    </row>
    <row r="290" spans="1:2">
      <c r="A290" s="66"/>
      <c r="B290" s="66"/>
    </row>
    <row r="291" spans="1:2">
      <c r="A291" s="66"/>
      <c r="B291" s="66"/>
    </row>
    <row r="292" spans="1:2">
      <c r="A292" s="66"/>
      <c r="B292" s="66"/>
    </row>
    <row r="293" spans="1:2">
      <c r="A293" s="66"/>
      <c r="B293" s="66"/>
    </row>
    <row r="294" spans="1:2">
      <c r="A294" s="66"/>
      <c r="B294" s="66"/>
    </row>
    <row r="295" spans="1:2">
      <c r="A295" s="66"/>
      <c r="B295" s="66"/>
    </row>
    <row r="296" spans="1:2">
      <c r="A296" s="66"/>
      <c r="B296" s="66"/>
    </row>
    <row r="297" spans="1:2">
      <c r="A297" s="66"/>
      <c r="B297" s="66"/>
    </row>
    <row r="298" spans="1:2">
      <c r="A298" s="66"/>
      <c r="B298" s="66"/>
    </row>
    <row r="299" spans="1:2">
      <c r="A299" s="66"/>
      <c r="B299" s="66"/>
    </row>
    <row r="300" spans="1:2">
      <c r="A300" s="66"/>
      <c r="B300" s="66"/>
    </row>
    <row r="301" spans="1:2">
      <c r="A301" s="66"/>
      <c r="B301" s="66"/>
    </row>
    <row r="302" spans="1:2">
      <c r="A302" s="66"/>
      <c r="B302" s="66"/>
    </row>
    <row r="303" spans="1:2">
      <c r="A303" s="66"/>
      <c r="B303" s="66"/>
    </row>
    <row r="304" spans="1:2">
      <c r="A304" s="66"/>
      <c r="B304" s="66"/>
    </row>
    <row r="305" spans="1:2">
      <c r="A305" s="66"/>
      <c r="B305" s="66"/>
    </row>
    <row r="306" spans="1:2">
      <c r="A306" s="66"/>
      <c r="B306" s="66"/>
    </row>
    <row r="307" spans="1:2">
      <c r="A307" s="66"/>
      <c r="B307" s="66"/>
    </row>
    <row r="308" spans="1:2">
      <c r="A308" s="66"/>
      <c r="B308" s="66"/>
    </row>
    <row r="309" spans="1:2">
      <c r="A309" s="66"/>
      <c r="B309" s="66"/>
    </row>
    <row r="310" spans="1:2">
      <c r="A310" s="66"/>
      <c r="B310" s="66"/>
    </row>
    <row r="311" spans="1:2">
      <c r="A311" s="66"/>
      <c r="B311" s="66"/>
    </row>
    <row r="312" spans="1:2">
      <c r="A312" s="66"/>
      <c r="B312" s="66"/>
    </row>
    <row r="313" spans="1:2">
      <c r="A313" s="66"/>
      <c r="B313" s="66"/>
    </row>
    <row r="314" spans="1:2">
      <c r="A314" s="66"/>
      <c r="B314" s="66"/>
    </row>
    <row r="315" spans="1:2">
      <c r="A315" s="66"/>
      <c r="B315" s="66"/>
    </row>
    <row r="316" spans="1:2">
      <c r="A316" s="66"/>
      <c r="B316" s="66"/>
    </row>
    <row r="317" spans="1:2">
      <c r="A317" s="66"/>
      <c r="B317" s="66"/>
    </row>
    <row r="318" spans="1:2">
      <c r="A318" s="66"/>
      <c r="B318" s="66"/>
    </row>
    <row r="319" spans="1:2">
      <c r="A319" s="66"/>
      <c r="B319" s="66"/>
    </row>
    <row r="320" spans="1:2">
      <c r="A320" s="66"/>
      <c r="B320" s="66"/>
    </row>
    <row r="321" spans="1:2">
      <c r="A321" s="66"/>
      <c r="B321" s="66"/>
    </row>
    <row r="322" spans="1:2">
      <c r="A322" s="66"/>
      <c r="B322" s="66"/>
    </row>
    <row r="323" spans="1:2">
      <c r="A323" s="66"/>
      <c r="B323" s="66"/>
    </row>
    <row r="324" spans="1:2">
      <c r="A324" s="66"/>
      <c r="B324" s="66"/>
    </row>
    <row r="325" spans="1:2">
      <c r="A325" s="66"/>
      <c r="B325" s="66"/>
    </row>
    <row r="326" spans="1:2">
      <c r="A326" s="66"/>
      <c r="B326" s="66"/>
    </row>
    <row r="327" spans="1:2">
      <c r="A327" s="66"/>
      <c r="B327" s="66"/>
    </row>
    <row r="328" spans="1:2">
      <c r="A328" s="66"/>
      <c r="B328" s="66"/>
    </row>
    <row r="329" spans="1:2">
      <c r="A329" s="66"/>
      <c r="B329" s="66"/>
    </row>
    <row r="330" spans="1:2">
      <c r="A330" s="66"/>
      <c r="B330" s="66"/>
    </row>
    <row r="331" spans="1:2">
      <c r="A331" s="66"/>
      <c r="B331" s="66"/>
    </row>
    <row r="332" spans="1:2">
      <c r="A332" s="66"/>
      <c r="B332" s="66"/>
    </row>
    <row r="333" spans="1:2">
      <c r="A333" s="66"/>
      <c r="B333" s="66"/>
    </row>
    <row r="334" spans="1:2">
      <c r="A334" s="66"/>
      <c r="B334" s="66"/>
    </row>
    <row r="335" spans="1:2">
      <c r="A335" s="66"/>
      <c r="B335" s="66"/>
    </row>
    <row r="336" spans="1:2">
      <c r="A336" s="66"/>
      <c r="B336" s="66"/>
    </row>
    <row r="337" spans="1:2">
      <c r="A337" s="66"/>
      <c r="B337" s="66"/>
    </row>
    <row r="338" spans="1:2">
      <c r="A338" s="66"/>
      <c r="B338" s="66"/>
    </row>
    <row r="339" spans="1:2">
      <c r="A339" s="66"/>
      <c r="B339" s="66"/>
    </row>
    <row r="340" spans="1:2">
      <c r="A340" s="66"/>
      <c r="B340" s="66"/>
    </row>
    <row r="341" spans="1:2">
      <c r="A341" s="66"/>
      <c r="B341" s="66"/>
    </row>
    <row r="342" spans="1:2">
      <c r="A342" s="66"/>
      <c r="B342" s="66"/>
    </row>
    <row r="343" spans="1:2">
      <c r="A343" s="66"/>
      <c r="B343" s="66"/>
    </row>
    <row r="344" spans="1:2">
      <c r="A344" s="66"/>
      <c r="B344" s="66"/>
    </row>
    <row r="345" spans="1:2">
      <c r="A345" s="66"/>
      <c r="B345" s="66"/>
    </row>
    <row r="346" spans="1:2">
      <c r="A346" s="66"/>
      <c r="B346" s="66"/>
    </row>
    <row r="347" spans="1:2">
      <c r="A347" s="66"/>
      <c r="B347" s="66"/>
    </row>
    <row r="348" spans="1:2">
      <c r="A348" s="66"/>
      <c r="B348" s="66"/>
    </row>
    <row r="349" spans="1:2">
      <c r="A349" s="66"/>
      <c r="B349" s="66"/>
    </row>
    <row r="350" spans="1:2">
      <c r="A350" s="66"/>
      <c r="B350" s="66"/>
    </row>
    <row r="351" spans="1:2">
      <c r="A351" s="66"/>
      <c r="B351" s="66"/>
    </row>
    <row r="352" spans="1:2">
      <c r="A352" s="66"/>
      <c r="B352" s="66"/>
    </row>
    <row r="353" spans="1:2">
      <c r="A353" s="66"/>
      <c r="B353" s="66"/>
    </row>
    <row r="354" spans="1:2">
      <c r="A354" s="66"/>
      <c r="B354" s="66"/>
    </row>
    <row r="355" spans="1:2">
      <c r="A355" s="66"/>
      <c r="B355" s="66"/>
    </row>
    <row r="356" spans="1:2">
      <c r="A356" s="66"/>
      <c r="B356" s="66"/>
    </row>
    <row r="357" spans="1:2">
      <c r="A357" s="66"/>
      <c r="B357" s="66"/>
    </row>
    <row r="358" spans="1:2">
      <c r="A358" s="66"/>
      <c r="B358" s="66"/>
    </row>
    <row r="359" spans="1:2">
      <c r="A359" s="66"/>
      <c r="B359" s="66"/>
    </row>
    <row r="360" spans="1:2">
      <c r="A360" s="66"/>
      <c r="B360" s="66"/>
    </row>
    <row r="361" spans="1:2">
      <c r="A361" s="66"/>
      <c r="B361" s="66"/>
    </row>
    <row r="362" spans="1:2">
      <c r="A362" s="66"/>
      <c r="B362" s="66"/>
    </row>
    <row r="363" spans="1:2">
      <c r="A363" s="66"/>
      <c r="B363" s="66"/>
    </row>
    <row r="364" spans="1:2">
      <c r="A364" s="66"/>
      <c r="B364" s="66"/>
    </row>
    <row r="365" spans="1:2">
      <c r="A365" s="66"/>
      <c r="B365" s="66"/>
    </row>
    <row r="366" spans="1:2">
      <c r="A366" s="66"/>
      <c r="B366" s="66"/>
    </row>
    <row r="367" spans="1:2">
      <c r="A367" s="66"/>
      <c r="B367" s="66"/>
    </row>
    <row r="368" spans="1:2">
      <c r="A368" s="66"/>
      <c r="B368" s="66"/>
    </row>
    <row r="369" spans="1:2">
      <c r="A369" s="66"/>
      <c r="B369" s="66"/>
    </row>
    <row r="370" spans="1:2">
      <c r="A370" s="66"/>
      <c r="B370" s="66"/>
    </row>
    <row r="371" spans="1:2">
      <c r="A371" s="66"/>
      <c r="B371" s="66"/>
    </row>
    <row r="372" spans="1:2">
      <c r="A372" s="66"/>
      <c r="B372" s="66"/>
    </row>
    <row r="373" spans="1:2">
      <c r="A373" s="66"/>
      <c r="B373" s="66"/>
    </row>
    <row r="374" spans="1:2">
      <c r="A374" s="66"/>
      <c r="B374" s="66"/>
    </row>
    <row r="375" spans="1:2">
      <c r="A375" s="66"/>
      <c r="B375" s="66"/>
    </row>
    <row r="376" spans="1:2">
      <c r="A376" s="66"/>
      <c r="B376" s="66"/>
    </row>
    <row r="377" spans="1:2">
      <c r="A377" s="66"/>
      <c r="B377" s="66"/>
    </row>
    <row r="378" spans="1:2">
      <c r="A378" s="66"/>
      <c r="B378" s="66"/>
    </row>
    <row r="379" spans="1:2">
      <c r="A379" s="66"/>
      <c r="B379" s="66"/>
    </row>
    <row r="380" spans="1:2">
      <c r="A380" s="66"/>
      <c r="B380" s="66"/>
    </row>
    <row r="381" spans="1:2">
      <c r="A381" s="66"/>
      <c r="B381" s="66"/>
    </row>
    <row r="382" spans="1:2">
      <c r="A382" s="66"/>
      <c r="B382" s="66"/>
    </row>
    <row r="383" spans="1:2">
      <c r="A383" s="66"/>
      <c r="B383" s="66"/>
    </row>
    <row r="384" spans="1:2">
      <c r="A384" s="66"/>
      <c r="B384" s="66"/>
    </row>
    <row r="385" spans="1:2">
      <c r="A385" s="66"/>
      <c r="B385" s="66"/>
    </row>
    <row r="386" spans="1:2">
      <c r="A386" s="66"/>
      <c r="B386" s="66"/>
    </row>
    <row r="387" spans="1:2">
      <c r="A387" s="66"/>
      <c r="B387" s="66"/>
    </row>
    <row r="388" spans="1:2">
      <c r="A388" s="66"/>
      <c r="B388" s="66"/>
    </row>
    <row r="389" spans="1:2">
      <c r="A389" s="66"/>
      <c r="B389" s="66"/>
    </row>
    <row r="390" spans="1:2">
      <c r="A390" s="66"/>
      <c r="B390" s="66"/>
    </row>
    <row r="391" spans="1:2">
      <c r="A391" s="66"/>
      <c r="B391" s="66"/>
    </row>
    <row r="392" spans="1:2">
      <c r="A392" s="66"/>
      <c r="B392" s="66"/>
    </row>
    <row r="393" spans="1:2">
      <c r="A393" s="66"/>
      <c r="B393" s="66"/>
    </row>
    <row r="394" spans="1:2">
      <c r="A394" s="66"/>
      <c r="B394" s="66"/>
    </row>
    <row r="395" spans="1:2">
      <c r="A395" s="66"/>
      <c r="B395" s="66"/>
    </row>
    <row r="396" spans="1:2">
      <c r="A396" s="66"/>
      <c r="B396" s="66"/>
    </row>
    <row r="397" spans="1:2">
      <c r="A397" s="66"/>
      <c r="B397" s="66"/>
    </row>
    <row r="398" spans="1:2">
      <c r="A398" s="66"/>
      <c r="B398" s="66"/>
    </row>
    <row r="399" spans="1:2">
      <c r="A399" s="66"/>
      <c r="B399" s="66"/>
    </row>
    <row r="400" spans="1:2">
      <c r="A400" s="66"/>
      <c r="B400" s="66"/>
    </row>
    <row r="401" spans="1:2">
      <c r="A401" s="66"/>
      <c r="B401" s="66"/>
    </row>
    <row r="402" spans="1:2">
      <c r="A402" s="66"/>
      <c r="B402" s="66"/>
    </row>
    <row r="403" spans="1:2">
      <c r="A403" s="66"/>
      <c r="B403" s="66"/>
    </row>
    <row r="404" spans="1:2">
      <c r="A404" s="66"/>
      <c r="B404" s="66"/>
    </row>
    <row r="405" spans="1:2">
      <c r="A405" s="66"/>
      <c r="B405" s="66"/>
    </row>
    <row r="406" spans="1:2">
      <c r="A406" s="66"/>
      <c r="B406" s="66"/>
    </row>
    <row r="407" spans="1:2">
      <c r="A407" s="66"/>
      <c r="B407" s="66"/>
    </row>
    <row r="408" spans="1:2">
      <c r="A408" s="66"/>
      <c r="B408" s="66"/>
    </row>
    <row r="409" spans="1:2">
      <c r="A409" s="66"/>
      <c r="B409" s="66"/>
    </row>
    <row r="410" spans="1:2">
      <c r="A410" s="66"/>
      <c r="B410" s="66"/>
    </row>
    <row r="411" spans="1:2">
      <c r="A411" s="66"/>
      <c r="B411" s="66"/>
    </row>
    <row r="412" spans="1:2">
      <c r="A412" s="66"/>
      <c r="B412" s="66"/>
    </row>
    <row r="413" spans="1:2">
      <c r="A413" s="66"/>
      <c r="B413" s="66"/>
    </row>
    <row r="414" spans="1:2">
      <c r="A414" s="66"/>
      <c r="B414" s="66"/>
    </row>
    <row r="415" spans="1:2">
      <c r="A415" s="66"/>
      <c r="B415" s="66"/>
    </row>
    <row r="416" spans="1:2">
      <c r="A416" s="66"/>
      <c r="B416" s="66"/>
    </row>
    <row r="417" spans="1:2">
      <c r="A417" s="66"/>
      <c r="B417" s="66"/>
    </row>
    <row r="418" spans="1:2">
      <c r="A418" s="66"/>
      <c r="B418" s="66"/>
    </row>
    <row r="419" spans="1:2">
      <c r="A419" s="66"/>
      <c r="B419" s="66"/>
    </row>
    <row r="420" spans="1:2">
      <c r="A420" s="66"/>
      <c r="B420" s="66"/>
    </row>
    <row r="421" spans="1:2">
      <c r="A421" s="66"/>
      <c r="B421" s="66"/>
    </row>
    <row r="422" spans="1:2">
      <c r="A422" s="66"/>
      <c r="B422" s="66"/>
    </row>
    <row r="423" spans="1:2">
      <c r="A423" s="66"/>
      <c r="B423" s="66"/>
    </row>
    <row r="424" spans="1:2">
      <c r="A424" s="66"/>
      <c r="B424" s="66"/>
    </row>
    <row r="425" spans="1:2">
      <c r="A425" s="66"/>
      <c r="B425" s="66"/>
    </row>
    <row r="426" spans="1:2">
      <c r="A426" s="66"/>
      <c r="B426" s="66"/>
    </row>
    <row r="427" spans="1:2">
      <c r="A427" s="66"/>
      <c r="B427" s="66"/>
    </row>
    <row r="428" spans="1:2">
      <c r="A428" s="66"/>
      <c r="B428" s="66"/>
    </row>
    <row r="429" spans="1:2">
      <c r="A429" s="66"/>
      <c r="B429" s="66"/>
    </row>
    <row r="430" spans="1:2">
      <c r="A430" s="66"/>
      <c r="B430" s="66"/>
    </row>
    <row r="431" spans="1:2">
      <c r="A431" s="66"/>
      <c r="B431" s="66"/>
    </row>
    <row r="432" spans="1:2">
      <c r="A432" s="66"/>
      <c r="B432" s="66"/>
    </row>
    <row r="433" spans="1:2">
      <c r="A433" s="66"/>
      <c r="B433" s="66"/>
    </row>
    <row r="434" spans="1:2">
      <c r="A434" s="66"/>
      <c r="B434" s="66"/>
    </row>
    <row r="435" spans="1:2">
      <c r="A435" s="66"/>
      <c r="B435" s="66"/>
    </row>
    <row r="436" spans="1:2">
      <c r="A436" s="66"/>
      <c r="B436" s="66"/>
    </row>
    <row r="437" spans="1:2">
      <c r="A437" s="66"/>
      <c r="B437" s="66"/>
    </row>
    <row r="438" spans="1:2">
      <c r="A438" s="66"/>
      <c r="B438" s="66"/>
    </row>
    <row r="439" spans="1:2">
      <c r="A439" s="66"/>
      <c r="B439" s="66"/>
    </row>
    <row r="440" spans="1:2">
      <c r="A440" s="66"/>
      <c r="B440" s="66"/>
    </row>
    <row r="441" spans="1:2">
      <c r="A441" s="66"/>
      <c r="B441" s="66"/>
    </row>
    <row r="442" spans="1:2">
      <c r="A442" s="66"/>
      <c r="B442" s="66"/>
    </row>
    <row r="443" spans="1:2">
      <c r="A443" s="66"/>
      <c r="B443" s="66"/>
    </row>
    <row r="444" spans="1:2">
      <c r="A444" s="66"/>
      <c r="B444" s="66"/>
    </row>
    <row r="445" spans="1:2">
      <c r="A445" s="66"/>
      <c r="B445" s="66"/>
    </row>
    <row r="446" spans="1:2">
      <c r="A446" s="66"/>
      <c r="B446" s="66"/>
    </row>
    <row r="447" spans="1:2">
      <c r="A447" s="66"/>
      <c r="B447" s="66"/>
    </row>
    <row r="448" spans="1:2">
      <c r="A448" s="66"/>
      <c r="B448" s="66"/>
    </row>
    <row r="449" spans="1:2">
      <c r="A449" s="66"/>
      <c r="B449" s="66"/>
    </row>
    <row r="450" spans="1:2">
      <c r="A450" s="66"/>
      <c r="B450" s="66"/>
    </row>
    <row r="451" spans="1:2">
      <c r="A451" s="66"/>
      <c r="B451" s="66"/>
    </row>
    <row r="452" spans="1:2">
      <c r="A452" s="66"/>
      <c r="B452" s="66"/>
    </row>
    <row r="453" spans="1:2">
      <c r="A453" s="66"/>
      <c r="B453" s="66"/>
    </row>
    <row r="454" spans="1:2">
      <c r="A454" s="66"/>
      <c r="B454" s="66"/>
    </row>
    <row r="455" spans="1:2">
      <c r="A455" s="66"/>
      <c r="B455" s="66"/>
    </row>
    <row r="456" spans="1:2">
      <c r="A456" s="66"/>
      <c r="B456" s="66"/>
    </row>
    <row r="457" spans="1:2">
      <c r="A457" s="66"/>
      <c r="B457" s="66"/>
    </row>
    <row r="458" spans="1:2">
      <c r="A458" s="66"/>
      <c r="B458" s="66"/>
    </row>
    <row r="459" spans="1:2">
      <c r="A459" s="66"/>
      <c r="B459" s="66"/>
    </row>
    <row r="460" spans="1:2">
      <c r="A460" s="66"/>
      <c r="B460" s="66"/>
    </row>
    <row r="461" spans="1:2">
      <c r="A461" s="66"/>
      <c r="B461" s="66"/>
    </row>
    <row r="462" spans="1:2">
      <c r="A462" s="66"/>
      <c r="B462" s="66"/>
    </row>
    <row r="463" spans="1:2">
      <c r="A463" s="66"/>
      <c r="B463" s="66"/>
    </row>
    <row r="464" spans="1:2">
      <c r="A464" s="66"/>
      <c r="B464" s="66"/>
    </row>
    <row r="465" spans="1:2">
      <c r="A465" s="66"/>
      <c r="B465" s="66"/>
    </row>
    <row r="466" spans="1:2">
      <c r="A466" s="66"/>
      <c r="B466" s="66"/>
    </row>
    <row r="467" spans="1:2">
      <c r="A467" s="66"/>
      <c r="B467" s="66"/>
    </row>
    <row r="468" spans="1:2">
      <c r="A468" s="66"/>
      <c r="B468" s="66"/>
    </row>
    <row r="469" spans="1:2">
      <c r="A469" s="66"/>
      <c r="B469" s="66"/>
    </row>
    <row r="470" spans="1:2">
      <c r="A470" s="66"/>
      <c r="B470" s="66"/>
    </row>
    <row r="471" spans="1:2">
      <c r="A471" s="66"/>
      <c r="B471" s="66"/>
    </row>
    <row r="472" spans="1:2">
      <c r="A472" s="66"/>
      <c r="B472" s="66"/>
    </row>
    <row r="473" spans="1:2">
      <c r="A473" s="66"/>
      <c r="B473" s="66"/>
    </row>
    <row r="474" spans="1:2">
      <c r="A474" s="66"/>
      <c r="B474" s="66"/>
    </row>
    <row r="475" spans="1:2">
      <c r="A475" s="66"/>
      <c r="B475" s="66"/>
    </row>
    <row r="476" spans="1:2">
      <c r="A476" s="66"/>
      <c r="B476" s="66"/>
    </row>
    <row r="477" spans="1:2">
      <c r="A477" s="66"/>
      <c r="B477" s="66"/>
    </row>
    <row r="478" spans="1:2">
      <c r="A478" s="66"/>
      <c r="B478" s="66"/>
    </row>
    <row r="479" spans="1:2">
      <c r="A479" s="66"/>
      <c r="B479" s="66"/>
    </row>
    <row r="480" spans="1:2">
      <c r="A480" s="66"/>
      <c r="B480" s="66"/>
    </row>
    <row r="481" spans="1:2">
      <c r="A481" s="66"/>
      <c r="B481" s="66"/>
    </row>
    <row r="482" spans="1:2">
      <c r="A482" s="66"/>
      <c r="B482" s="66"/>
    </row>
    <row r="483" spans="1:2">
      <c r="A483" s="66"/>
      <c r="B483" s="66"/>
    </row>
    <row r="484" spans="1:2">
      <c r="A484" s="66"/>
      <c r="B484" s="66"/>
    </row>
    <row r="485" spans="1:2">
      <c r="A485" s="66"/>
      <c r="B485" s="66"/>
    </row>
    <row r="486" spans="1:2">
      <c r="A486" s="66"/>
      <c r="B486" s="66"/>
    </row>
    <row r="487" spans="1:2">
      <c r="A487" s="66"/>
      <c r="B487" s="66"/>
    </row>
    <row r="488" spans="1:2">
      <c r="A488" s="66"/>
      <c r="B488" s="66"/>
    </row>
    <row r="489" spans="1:2">
      <c r="A489" s="66"/>
      <c r="B489" s="66"/>
    </row>
    <row r="490" spans="1:2">
      <c r="A490" s="66"/>
      <c r="B490" s="66"/>
    </row>
    <row r="491" spans="1:2">
      <c r="A491" s="66"/>
      <c r="B491" s="66"/>
    </row>
    <row r="492" spans="1:2">
      <c r="A492" s="66"/>
      <c r="B492" s="66"/>
    </row>
    <row r="493" spans="1:2">
      <c r="A493" s="66"/>
      <c r="B493" s="66"/>
    </row>
    <row r="494" spans="1:2">
      <c r="A494" s="66"/>
      <c r="B494" s="66"/>
    </row>
    <row r="495" spans="1:2">
      <c r="A495" s="66"/>
      <c r="B495" s="66"/>
    </row>
    <row r="496" spans="1:2">
      <c r="A496" s="66"/>
      <c r="B496" s="66"/>
    </row>
    <row r="497" spans="1:2">
      <c r="A497" s="66"/>
      <c r="B497" s="66"/>
    </row>
    <row r="498" spans="1:2">
      <c r="A498" s="66"/>
      <c r="B498" s="66"/>
    </row>
    <row r="499" spans="1:2">
      <c r="A499" s="66"/>
      <c r="B499" s="66"/>
    </row>
    <row r="500" spans="1:2">
      <c r="A500" s="66"/>
      <c r="B500" s="66"/>
    </row>
    <row r="501" spans="1:2">
      <c r="A501" s="66"/>
      <c r="B501" s="66"/>
    </row>
    <row r="502" spans="1:2">
      <c r="A502" s="66"/>
      <c r="B502" s="66"/>
    </row>
    <row r="503" spans="1:2">
      <c r="A503" s="66"/>
      <c r="B503" s="66"/>
    </row>
    <row r="504" spans="1:2">
      <c r="A504" s="66"/>
      <c r="B504" s="66"/>
    </row>
    <row r="505" spans="1:2">
      <c r="A505" s="66"/>
      <c r="B505" s="66"/>
    </row>
    <row r="506" spans="1:2">
      <c r="A506" s="66"/>
      <c r="B506" s="66"/>
    </row>
    <row r="507" spans="1:2">
      <c r="A507" s="66"/>
      <c r="B507" s="66"/>
    </row>
    <row r="508" spans="1:2">
      <c r="A508" s="66"/>
      <c r="B508" s="66"/>
    </row>
    <row r="509" spans="1:2">
      <c r="A509" s="66"/>
      <c r="B509" s="66"/>
    </row>
    <row r="510" spans="1:2">
      <c r="A510" s="66"/>
      <c r="B510" s="66"/>
    </row>
    <row r="511" spans="1:2">
      <c r="A511" s="66"/>
      <c r="B511" s="66"/>
    </row>
    <row r="512" spans="1:2">
      <c r="A512" s="66"/>
      <c r="B512" s="66"/>
    </row>
    <row r="513" spans="1:2">
      <c r="A513" s="66"/>
      <c r="B513" s="66"/>
    </row>
    <row r="514" spans="1:2">
      <c r="A514" s="66"/>
      <c r="B514" s="66"/>
    </row>
    <row r="515" spans="1:2">
      <c r="A515" s="66"/>
      <c r="B515" s="66"/>
    </row>
    <row r="516" spans="1:2">
      <c r="A516" s="66"/>
      <c r="B516" s="66"/>
    </row>
    <row r="517" spans="1:2">
      <c r="A517" s="66"/>
      <c r="B517" s="66"/>
    </row>
    <row r="518" spans="1:2">
      <c r="A518" s="66"/>
      <c r="B518" s="66"/>
    </row>
    <row r="519" spans="1:2">
      <c r="A519" s="66"/>
      <c r="B519" s="66"/>
    </row>
    <row r="520" spans="1:2">
      <c r="A520" s="66"/>
      <c r="B520" s="66"/>
    </row>
    <row r="521" spans="1:2">
      <c r="A521" s="66"/>
      <c r="B521" s="66"/>
    </row>
    <row r="522" spans="1:2">
      <c r="A522" s="66"/>
      <c r="B522" s="66"/>
    </row>
    <row r="523" spans="1:2">
      <c r="A523" s="66"/>
      <c r="B523" s="66"/>
    </row>
    <row r="524" spans="1:2">
      <c r="A524" s="66"/>
      <c r="B524" s="66"/>
    </row>
    <row r="525" spans="1:2">
      <c r="A525" s="66"/>
      <c r="B525" s="66"/>
    </row>
    <row r="526" spans="1:2">
      <c r="A526" s="66"/>
      <c r="B526" s="66"/>
    </row>
    <row r="527" spans="1:2">
      <c r="A527" s="66"/>
      <c r="B527" s="66"/>
    </row>
    <row r="528" spans="1:2">
      <c r="A528" s="66"/>
      <c r="B528" s="66"/>
    </row>
    <row r="529" spans="1:2">
      <c r="A529" s="66"/>
      <c r="B529" s="66"/>
    </row>
    <row r="530" spans="1:2">
      <c r="A530" s="66"/>
      <c r="B530" s="66"/>
    </row>
    <row r="531" spans="1:2">
      <c r="A531" s="66"/>
      <c r="B531" s="66"/>
    </row>
    <row r="532" spans="1:2">
      <c r="A532" s="66"/>
      <c r="B532" s="66"/>
    </row>
    <row r="533" spans="1:2">
      <c r="A533" s="66"/>
      <c r="B533" s="66"/>
    </row>
    <row r="534" spans="1:2">
      <c r="A534" s="66"/>
      <c r="B534" s="66"/>
    </row>
    <row r="535" spans="1:2">
      <c r="A535" s="66"/>
      <c r="B535" s="66"/>
    </row>
    <row r="536" spans="1:2">
      <c r="A536" s="66"/>
      <c r="B536" s="66"/>
    </row>
    <row r="537" spans="1:2">
      <c r="A537" s="66"/>
      <c r="B537" s="66"/>
    </row>
    <row r="538" spans="1:2">
      <c r="A538" s="66"/>
      <c r="B538" s="66"/>
    </row>
    <row r="539" spans="1:2">
      <c r="A539" s="66"/>
      <c r="B539" s="66"/>
    </row>
    <row r="540" spans="1:2">
      <c r="A540" s="66"/>
      <c r="B540" s="66"/>
    </row>
    <row r="541" spans="1:2">
      <c r="A541" s="66"/>
      <c r="B541" s="66"/>
    </row>
    <row r="542" spans="1:2">
      <c r="A542" s="66"/>
      <c r="B542" s="66"/>
    </row>
    <row r="543" spans="1:2">
      <c r="A543" s="66"/>
      <c r="B543" s="66"/>
    </row>
    <row r="544" spans="1:2">
      <c r="A544" s="66"/>
      <c r="B544" s="66"/>
    </row>
    <row r="545" spans="1:2">
      <c r="A545" s="66"/>
      <c r="B545" s="66"/>
    </row>
    <row r="546" spans="1:2">
      <c r="A546" s="66"/>
      <c r="B546" s="66"/>
    </row>
    <row r="547" spans="1:2">
      <c r="A547" s="66"/>
      <c r="B547" s="66"/>
    </row>
    <row r="548" spans="1:2">
      <c r="A548" s="66"/>
      <c r="B548" s="66"/>
    </row>
    <row r="549" spans="1:2">
      <c r="A549" s="66"/>
      <c r="B549" s="66"/>
    </row>
    <row r="550" spans="1:2">
      <c r="A550" s="66"/>
      <c r="B550" s="66"/>
    </row>
    <row r="551" spans="1:2">
      <c r="A551" s="66"/>
      <c r="B551" s="66"/>
    </row>
    <row r="552" spans="1:2">
      <c r="A552" s="66"/>
      <c r="B552" s="66"/>
    </row>
    <row r="553" spans="1:2">
      <c r="A553" s="66"/>
      <c r="B553" s="66"/>
    </row>
    <row r="554" spans="1:2">
      <c r="A554" s="66"/>
      <c r="B554" s="66"/>
    </row>
    <row r="555" spans="1:2">
      <c r="A555" s="66"/>
      <c r="B555" s="66"/>
    </row>
    <row r="556" spans="1:2">
      <c r="A556" s="66"/>
      <c r="B556" s="66"/>
    </row>
    <row r="557" spans="1:2">
      <c r="A557" s="66"/>
      <c r="B557" s="66"/>
    </row>
    <row r="558" spans="1:2">
      <c r="A558" s="66"/>
      <c r="B558" s="66"/>
    </row>
    <row r="559" spans="1:2">
      <c r="A559" s="66"/>
      <c r="B559" s="66"/>
    </row>
    <row r="560" spans="1:2">
      <c r="A560" s="66"/>
      <c r="B560" s="66"/>
    </row>
    <row r="561" spans="1:2">
      <c r="A561" s="66"/>
      <c r="B561" s="66"/>
    </row>
    <row r="562" spans="1:2">
      <c r="A562" s="66"/>
      <c r="B562" s="66"/>
    </row>
    <row r="563" spans="1:2">
      <c r="A563" s="66"/>
      <c r="B563" s="66"/>
    </row>
    <row r="564" spans="1:2">
      <c r="A564" s="66"/>
      <c r="B564" s="66"/>
    </row>
    <row r="565" spans="1:2">
      <c r="A565" s="66"/>
      <c r="B565" s="66"/>
    </row>
    <row r="566" spans="1:2">
      <c r="A566" s="66"/>
      <c r="B566" s="66"/>
    </row>
    <row r="567" spans="1:2">
      <c r="A567" s="66"/>
      <c r="B567" s="66"/>
    </row>
    <row r="568" spans="1:2">
      <c r="A568" s="66"/>
      <c r="B568" s="66"/>
    </row>
    <row r="569" spans="1:2">
      <c r="A569" s="66"/>
      <c r="B569" s="66"/>
    </row>
    <row r="570" spans="1:2">
      <c r="A570" s="66"/>
      <c r="B570" s="66"/>
    </row>
    <row r="571" spans="1:2">
      <c r="A571" s="66"/>
      <c r="B571" s="66"/>
    </row>
    <row r="572" spans="1:2">
      <c r="A572" s="66"/>
      <c r="B572" s="66"/>
    </row>
    <row r="573" spans="1:2">
      <c r="A573" s="66"/>
      <c r="B573" s="66"/>
    </row>
    <row r="574" spans="1:2">
      <c r="A574" s="66"/>
      <c r="B574" s="66"/>
    </row>
    <row r="575" spans="1:2">
      <c r="A575" s="66"/>
      <c r="B575" s="66"/>
    </row>
    <row r="576" spans="1:2">
      <c r="A576" s="66"/>
      <c r="B576" s="66"/>
    </row>
    <row r="577" spans="1:2">
      <c r="A577" s="66"/>
      <c r="B577" s="66"/>
    </row>
    <row r="578" spans="1:2">
      <c r="A578" s="66"/>
      <c r="B578" s="66"/>
    </row>
    <row r="579" spans="1:2">
      <c r="A579" s="66"/>
      <c r="B579" s="66"/>
    </row>
    <row r="580" spans="1:2">
      <c r="A580" s="66"/>
      <c r="B580" s="66"/>
    </row>
    <row r="581" spans="1:2">
      <c r="A581" s="66"/>
      <c r="B581" s="66"/>
    </row>
    <row r="582" spans="1:2">
      <c r="A582" s="66"/>
      <c r="B582" s="66"/>
    </row>
    <row r="583" spans="1:2">
      <c r="A583" s="66"/>
      <c r="B583" s="66"/>
    </row>
    <row r="584" spans="1:2">
      <c r="A584" s="66"/>
      <c r="B584" s="66"/>
    </row>
    <row r="585" spans="1:2">
      <c r="A585" s="66"/>
      <c r="B585" s="66"/>
    </row>
    <row r="586" spans="1:2">
      <c r="A586" s="66"/>
      <c r="B586" s="66"/>
    </row>
    <row r="587" spans="1:2">
      <c r="A587" s="66"/>
      <c r="B587" s="66"/>
    </row>
    <row r="588" spans="1:2">
      <c r="A588" s="66"/>
      <c r="B588" s="66"/>
    </row>
    <row r="589" spans="1:2">
      <c r="A589" s="66"/>
      <c r="B589" s="66"/>
    </row>
    <row r="590" spans="1:2">
      <c r="A590" s="66"/>
      <c r="B590" s="66"/>
    </row>
    <row r="591" spans="1:2">
      <c r="A591" s="66"/>
      <c r="B591" s="66"/>
    </row>
    <row r="592" spans="1:2">
      <c r="A592" s="66"/>
      <c r="B592" s="66"/>
    </row>
    <row r="593" spans="1:2">
      <c r="A593" s="66"/>
      <c r="B593" s="66"/>
    </row>
    <row r="594" spans="1:2">
      <c r="A594" s="66"/>
      <c r="B594" s="66"/>
    </row>
    <row r="595" spans="1:2">
      <c r="A595" s="66"/>
      <c r="B595" s="66"/>
    </row>
    <row r="596" spans="1:2">
      <c r="A596" s="66"/>
      <c r="B596" s="66"/>
    </row>
    <row r="597" spans="1:2">
      <c r="A597" s="66"/>
      <c r="B597" s="66"/>
    </row>
    <row r="598" spans="1:2">
      <c r="A598" s="66"/>
      <c r="B598" s="66"/>
    </row>
    <row r="599" spans="1:2">
      <c r="A599" s="66"/>
      <c r="B599" s="66"/>
    </row>
    <row r="600" spans="1:2">
      <c r="A600" s="66"/>
      <c r="B600" s="66"/>
    </row>
    <row r="601" spans="1:2">
      <c r="A601" s="66"/>
      <c r="B601" s="66"/>
    </row>
    <row r="602" spans="1:2">
      <c r="A602" s="66"/>
      <c r="B602" s="66"/>
    </row>
    <row r="603" spans="1:2">
      <c r="A603" s="66"/>
      <c r="B603" s="66"/>
    </row>
    <row r="604" spans="1:2">
      <c r="A604" s="66"/>
      <c r="B604" s="66"/>
    </row>
    <row r="605" spans="1:2">
      <c r="A605" s="66"/>
      <c r="B605" s="66"/>
    </row>
    <row r="606" spans="1:2">
      <c r="A606" s="66"/>
      <c r="B606" s="66"/>
    </row>
    <row r="607" spans="1:2">
      <c r="A607" s="66"/>
      <c r="B607" s="66"/>
    </row>
    <row r="608" spans="1:2">
      <c r="A608" s="66"/>
      <c r="B608" s="66"/>
    </row>
    <row r="609" spans="1:2">
      <c r="A609" s="66"/>
      <c r="B609" s="66"/>
    </row>
    <row r="610" spans="1:2">
      <c r="A610" s="66"/>
      <c r="B610" s="66"/>
    </row>
    <row r="611" spans="1:2">
      <c r="A611" s="66"/>
      <c r="B611" s="66"/>
    </row>
    <row r="612" spans="1:2">
      <c r="A612" s="66"/>
      <c r="B612" s="66"/>
    </row>
    <row r="613" spans="1:2">
      <c r="A613" s="66"/>
      <c r="B613" s="66"/>
    </row>
    <row r="614" spans="1:2">
      <c r="A614" s="66"/>
      <c r="B614" s="66"/>
    </row>
    <row r="615" spans="1:2">
      <c r="A615" s="66"/>
      <c r="B615" s="66"/>
    </row>
    <row r="616" spans="1:2">
      <c r="A616" s="66"/>
      <c r="B616" s="66"/>
    </row>
    <row r="617" spans="1:2">
      <c r="A617" s="66"/>
      <c r="B617" s="66"/>
    </row>
    <row r="618" spans="1:2">
      <c r="A618" s="66"/>
      <c r="B618" s="66"/>
    </row>
    <row r="619" spans="1:2">
      <c r="A619" s="66"/>
      <c r="B619" s="66"/>
    </row>
    <row r="620" spans="1:2">
      <c r="A620" s="66"/>
      <c r="B620" s="66"/>
    </row>
    <row r="621" spans="1:2">
      <c r="A621" s="66"/>
      <c r="B621" s="66"/>
    </row>
    <row r="622" spans="1:2">
      <c r="A622" s="66"/>
      <c r="B622" s="66"/>
    </row>
    <row r="623" spans="1:2">
      <c r="A623" s="66"/>
      <c r="B623" s="66"/>
    </row>
    <row r="624" spans="1:2">
      <c r="A624" s="66"/>
      <c r="B624" s="66"/>
    </row>
    <row r="625" spans="1:2">
      <c r="A625" s="66"/>
      <c r="B625" s="66"/>
    </row>
    <row r="626" spans="1:2">
      <c r="A626" s="66"/>
      <c r="B626" s="66"/>
    </row>
    <row r="627" spans="1:2">
      <c r="A627" s="66"/>
      <c r="B627" s="66"/>
    </row>
    <row r="628" spans="1:2">
      <c r="A628" s="66"/>
      <c r="B628" s="66"/>
    </row>
    <row r="629" spans="1:2">
      <c r="A629" s="66"/>
      <c r="B629" s="66"/>
    </row>
    <row r="630" spans="1:2">
      <c r="A630" s="66"/>
      <c r="B630" s="66"/>
    </row>
    <row r="631" spans="1:2">
      <c r="A631" s="66"/>
      <c r="B631" s="66"/>
    </row>
    <row r="632" spans="1:2">
      <c r="A632" s="66"/>
      <c r="B632" s="66"/>
    </row>
    <row r="633" spans="1:2">
      <c r="A633" s="66"/>
      <c r="B633" s="66"/>
    </row>
    <row r="634" spans="1:2">
      <c r="A634" s="66"/>
      <c r="B634" s="66"/>
    </row>
    <row r="635" spans="1:2">
      <c r="A635" s="66"/>
      <c r="B635" s="66"/>
    </row>
    <row r="636" spans="1:2">
      <c r="A636" s="66"/>
      <c r="B636" s="66"/>
    </row>
    <row r="637" spans="1:2">
      <c r="A637" s="66"/>
      <c r="B637" s="66"/>
    </row>
    <row r="638" spans="1:2">
      <c r="A638" s="66"/>
      <c r="B638" s="66"/>
    </row>
    <row r="639" spans="1:2">
      <c r="A639" s="66"/>
      <c r="B639" s="66"/>
    </row>
    <row r="640" spans="1:2">
      <c r="A640" s="66"/>
      <c r="B640" s="66"/>
    </row>
    <row r="641" spans="1:2">
      <c r="A641" s="66"/>
      <c r="B641" s="66"/>
    </row>
    <row r="642" spans="1:2">
      <c r="A642" s="66"/>
      <c r="B642" s="66"/>
    </row>
    <row r="643" spans="1:2">
      <c r="A643" s="66"/>
      <c r="B643" s="66"/>
    </row>
    <row r="644" spans="1:2">
      <c r="A644" s="66"/>
      <c r="B644" s="66"/>
    </row>
    <row r="645" spans="1:2">
      <c r="A645" s="66"/>
      <c r="B645" s="66"/>
    </row>
    <row r="646" spans="1:2">
      <c r="A646" s="66"/>
      <c r="B646" s="66"/>
    </row>
    <row r="647" spans="1:2">
      <c r="A647" s="66"/>
      <c r="B647" s="66"/>
    </row>
    <row r="648" spans="1:2">
      <c r="A648" s="66"/>
      <c r="B648" s="66"/>
    </row>
    <row r="649" spans="1:2">
      <c r="A649" s="66"/>
      <c r="B649" s="66"/>
    </row>
    <row r="650" spans="1:2">
      <c r="A650" s="66"/>
      <c r="B650" s="66"/>
    </row>
    <row r="651" spans="1:2">
      <c r="A651" s="66"/>
      <c r="B651" s="66"/>
    </row>
    <row r="652" spans="1:2">
      <c r="A652" s="66"/>
      <c r="B652" s="66"/>
    </row>
    <row r="653" spans="1:2">
      <c r="A653" s="66"/>
      <c r="B653" s="66"/>
    </row>
    <row r="654" spans="1:2">
      <c r="A654" s="66"/>
      <c r="B654" s="66"/>
    </row>
    <row r="655" spans="1:2">
      <c r="A655" s="66"/>
      <c r="B655" s="66"/>
    </row>
    <row r="656" spans="1:2">
      <c r="A656" s="66"/>
      <c r="B656" s="66"/>
    </row>
    <row r="657" spans="1:2">
      <c r="A657" s="66"/>
      <c r="B657" s="66"/>
    </row>
    <row r="658" spans="1:2">
      <c r="A658" s="66"/>
      <c r="B658" s="66"/>
    </row>
    <row r="659" spans="1:2">
      <c r="A659" s="66"/>
      <c r="B659" s="66"/>
    </row>
    <row r="660" spans="1:2">
      <c r="A660" s="66"/>
      <c r="B660" s="66"/>
    </row>
    <row r="661" spans="1:2">
      <c r="A661" s="66"/>
      <c r="B661" s="66"/>
    </row>
    <row r="662" spans="1:2">
      <c r="A662" s="66"/>
      <c r="B662" s="66"/>
    </row>
    <row r="663" spans="1:2">
      <c r="A663" s="66"/>
      <c r="B663" s="66"/>
    </row>
    <row r="664" spans="1:2">
      <c r="A664" s="66"/>
      <c r="B664" s="66"/>
    </row>
    <row r="665" spans="1:2">
      <c r="A665" s="66"/>
      <c r="B665" s="66"/>
    </row>
    <row r="666" spans="1:2">
      <c r="A666" s="66"/>
      <c r="B666" s="66"/>
    </row>
    <row r="667" spans="1:2">
      <c r="A667" s="66"/>
      <c r="B667" s="66"/>
    </row>
    <row r="668" spans="1:2">
      <c r="A668" s="66"/>
      <c r="B668" s="66"/>
    </row>
    <row r="669" spans="1:2">
      <c r="A669" s="66"/>
      <c r="B669" s="66"/>
    </row>
    <row r="670" spans="1:2">
      <c r="A670" s="66"/>
      <c r="B670" s="66"/>
    </row>
    <row r="671" spans="1:2">
      <c r="A671" s="66"/>
      <c r="B671" s="66"/>
    </row>
    <row r="672" spans="1:2">
      <c r="A672" s="66"/>
      <c r="B672" s="66"/>
    </row>
    <row r="673" spans="1:2">
      <c r="A673" s="66"/>
      <c r="B673" s="66"/>
    </row>
    <row r="674" spans="1:2">
      <c r="A674" s="66"/>
      <c r="B674" s="66"/>
    </row>
    <row r="675" spans="1:2">
      <c r="A675" s="66"/>
      <c r="B675" s="66"/>
    </row>
    <row r="676" spans="1:2">
      <c r="A676" s="66"/>
      <c r="B676" s="66"/>
    </row>
    <row r="677" spans="1:2">
      <c r="A677" s="66"/>
      <c r="B677" s="66"/>
    </row>
    <row r="678" spans="1:2">
      <c r="A678" s="66"/>
      <c r="B678" s="66"/>
    </row>
    <row r="679" spans="1:2">
      <c r="A679" s="66"/>
      <c r="B679" s="66"/>
    </row>
    <row r="680" spans="1:2">
      <c r="A680" s="66"/>
      <c r="B680" s="66"/>
    </row>
    <row r="681" spans="1:2">
      <c r="A681" s="66"/>
      <c r="B681" s="66"/>
    </row>
    <row r="682" spans="1:2">
      <c r="A682" s="66"/>
      <c r="B682" s="66"/>
    </row>
    <row r="683" spans="1:2">
      <c r="A683" s="66"/>
      <c r="B683" s="66"/>
    </row>
    <row r="684" spans="1:2">
      <c r="A684" s="66"/>
      <c r="B684" s="66"/>
    </row>
    <row r="685" spans="1:2">
      <c r="A685" s="66"/>
      <c r="B685" s="66"/>
    </row>
    <row r="686" spans="1:2">
      <c r="A686" s="66"/>
      <c r="B686" s="66"/>
    </row>
    <row r="687" spans="1:2">
      <c r="A687" s="66"/>
      <c r="B687" s="66"/>
    </row>
    <row r="688" spans="1:2">
      <c r="A688" s="66"/>
      <c r="B688" s="66"/>
    </row>
    <row r="689" spans="1:2">
      <c r="A689" s="66"/>
      <c r="B689" s="66"/>
    </row>
    <row r="690" spans="1:2">
      <c r="A690" s="66"/>
      <c r="B690" s="66"/>
    </row>
    <row r="691" spans="1:2">
      <c r="A691" s="66"/>
      <c r="B691" s="66"/>
    </row>
    <row r="692" spans="1:2">
      <c r="A692" s="66"/>
      <c r="B692" s="66"/>
    </row>
    <row r="693" spans="1:2">
      <c r="A693" s="66"/>
      <c r="B693" s="66"/>
    </row>
    <row r="694" spans="1:2">
      <c r="A694" s="66"/>
      <c r="B694" s="66"/>
    </row>
    <row r="695" spans="1:2">
      <c r="A695" s="66"/>
      <c r="B695" s="66"/>
    </row>
    <row r="696" spans="1:2">
      <c r="A696" s="66"/>
      <c r="B696" s="66"/>
    </row>
    <row r="697" spans="1:2">
      <c r="A697" s="66"/>
      <c r="B697" s="66"/>
    </row>
    <row r="698" spans="1:2">
      <c r="A698" s="66"/>
      <c r="B698" s="66"/>
    </row>
    <row r="699" spans="1:2">
      <c r="A699" s="66"/>
      <c r="B699" s="66"/>
    </row>
    <row r="700" spans="1:2">
      <c r="A700" s="66"/>
      <c r="B700" s="66"/>
    </row>
    <row r="701" spans="1:2">
      <c r="A701" s="66"/>
      <c r="B701" s="66"/>
    </row>
    <row r="702" spans="1:2">
      <c r="A702" s="66"/>
      <c r="B702" s="66"/>
    </row>
    <row r="703" spans="1:2">
      <c r="A703" s="66"/>
      <c r="B703" s="66"/>
    </row>
    <row r="704" spans="1:2">
      <c r="A704" s="66"/>
      <c r="B704" s="66"/>
    </row>
    <row r="705" spans="1:2">
      <c r="A705" s="66"/>
      <c r="B705" s="66"/>
    </row>
    <row r="706" spans="1:2">
      <c r="A706" s="66"/>
      <c r="B706" s="66"/>
    </row>
    <row r="707" spans="1:2">
      <c r="A707" s="66"/>
      <c r="B707" s="66"/>
    </row>
    <row r="708" spans="1:2">
      <c r="A708" s="66"/>
      <c r="B708" s="66"/>
    </row>
    <row r="709" spans="1:2">
      <c r="A709" s="66"/>
      <c r="B709" s="66"/>
    </row>
    <row r="710" spans="1:2">
      <c r="A710" s="66"/>
      <c r="B710" s="66"/>
    </row>
    <row r="711" spans="1:2">
      <c r="A711" s="66"/>
      <c r="B711" s="66"/>
    </row>
    <row r="712" spans="1:2">
      <c r="A712" s="66"/>
      <c r="B712" s="66"/>
    </row>
    <row r="713" spans="1:2">
      <c r="A713" s="66"/>
      <c r="B713" s="66"/>
    </row>
    <row r="714" spans="1:2">
      <c r="A714" s="66"/>
      <c r="B714" s="66"/>
    </row>
    <row r="715" spans="1:2">
      <c r="A715" s="66"/>
      <c r="B715" s="66"/>
    </row>
    <row r="716" spans="1:2">
      <c r="A716" s="66"/>
      <c r="B716" s="66"/>
    </row>
    <row r="717" spans="1:2">
      <c r="A717" s="66"/>
      <c r="B717" s="66"/>
    </row>
    <row r="718" spans="1:2">
      <c r="A718" s="66"/>
      <c r="B718" s="66"/>
    </row>
    <row r="719" spans="1:2">
      <c r="A719" s="66"/>
      <c r="B719" s="66"/>
    </row>
    <row r="720" spans="1:2">
      <c r="A720" s="66"/>
      <c r="B720" s="66"/>
    </row>
    <row r="721" spans="1:2">
      <c r="A721" s="66"/>
      <c r="B721" s="66"/>
    </row>
    <row r="722" spans="1:2">
      <c r="A722" s="66"/>
      <c r="B722" s="66"/>
    </row>
    <row r="723" spans="1:2">
      <c r="A723" s="66"/>
      <c r="B723" s="66"/>
    </row>
    <row r="724" spans="1:2">
      <c r="A724" s="66"/>
      <c r="B724" s="66"/>
    </row>
    <row r="725" spans="1:2">
      <c r="A725" s="66"/>
      <c r="B725" s="66"/>
    </row>
    <row r="726" spans="1:2">
      <c r="A726" s="66"/>
      <c r="B726" s="66"/>
    </row>
    <row r="727" spans="1:2">
      <c r="A727" s="66"/>
      <c r="B727" s="66"/>
    </row>
    <row r="728" spans="1:2">
      <c r="A728" s="66"/>
      <c r="B728" s="66"/>
    </row>
    <row r="729" spans="1:2">
      <c r="A729" s="66"/>
      <c r="B729" s="66"/>
    </row>
    <row r="730" spans="1:2">
      <c r="A730" s="66"/>
      <c r="B730" s="66"/>
    </row>
    <row r="731" spans="1:2">
      <c r="A731" s="66"/>
      <c r="B731" s="66"/>
    </row>
    <row r="732" spans="1:2">
      <c r="A732" s="66"/>
      <c r="B732" s="66"/>
    </row>
    <row r="733" spans="1:2">
      <c r="A733" s="66"/>
      <c r="B733" s="66"/>
    </row>
    <row r="734" spans="1:2">
      <c r="A734" s="66"/>
      <c r="B734" s="66"/>
    </row>
    <row r="735" spans="1:2">
      <c r="A735" s="66"/>
      <c r="B735" s="66"/>
    </row>
    <row r="736" spans="1:2">
      <c r="A736" s="66"/>
      <c r="B736" s="66"/>
    </row>
    <row r="737" spans="1:2">
      <c r="A737" s="66"/>
      <c r="B737" s="66"/>
    </row>
    <row r="738" spans="1:2">
      <c r="A738" s="66"/>
      <c r="B738" s="66"/>
    </row>
    <row r="739" spans="1:2">
      <c r="A739" s="66"/>
      <c r="B739" s="66"/>
    </row>
    <row r="740" spans="1:2">
      <c r="A740" s="66"/>
      <c r="B740" s="66"/>
    </row>
    <row r="741" spans="1:2">
      <c r="A741" s="66"/>
      <c r="B741" s="66"/>
    </row>
    <row r="742" spans="1:2">
      <c r="A742" s="66"/>
      <c r="B742" s="66"/>
    </row>
    <row r="743" spans="1:2">
      <c r="A743" s="66"/>
      <c r="B743" s="66"/>
    </row>
    <row r="744" spans="1:2">
      <c r="A744" s="66"/>
      <c r="B744" s="66"/>
    </row>
    <row r="745" spans="1:2">
      <c r="A745" s="66"/>
      <c r="B745" s="66"/>
    </row>
    <row r="746" spans="1:2">
      <c r="A746" s="66"/>
      <c r="B746" s="66"/>
    </row>
    <row r="747" spans="1:2">
      <c r="A747" s="66"/>
      <c r="B747" s="66"/>
    </row>
    <row r="748" spans="1:2">
      <c r="A748" s="66"/>
      <c r="B748" s="66"/>
    </row>
    <row r="749" spans="1:2">
      <c r="A749" s="66"/>
      <c r="B749" s="66"/>
    </row>
    <row r="750" spans="1:2">
      <c r="A750" s="66"/>
      <c r="B750" s="66"/>
    </row>
    <row r="751" spans="1:2">
      <c r="A751" s="66"/>
      <c r="B751" s="66"/>
    </row>
    <row r="752" spans="1:2">
      <c r="A752" s="66"/>
      <c r="B752" s="66"/>
    </row>
    <row r="753" spans="1:2">
      <c r="A753" s="66"/>
      <c r="B753" s="66"/>
    </row>
    <row r="754" spans="1:2">
      <c r="A754" s="66"/>
      <c r="B754" s="66"/>
    </row>
    <row r="755" spans="1:2">
      <c r="A755" s="66"/>
      <c r="B755" s="66"/>
    </row>
    <row r="756" spans="1:2">
      <c r="A756" s="66"/>
      <c r="B756" s="66"/>
    </row>
    <row r="757" spans="1:2">
      <c r="A757" s="66"/>
      <c r="B757" s="66"/>
    </row>
    <row r="758" spans="1:2">
      <c r="A758" s="66"/>
      <c r="B758" s="66"/>
    </row>
    <row r="759" spans="1:2">
      <c r="A759" s="66"/>
      <c r="B759" s="66"/>
    </row>
    <row r="760" spans="1:2">
      <c r="A760" s="66"/>
      <c r="B760" s="66"/>
    </row>
    <row r="761" spans="1:2">
      <c r="A761" s="66"/>
      <c r="B761" s="66"/>
    </row>
    <row r="762" spans="1:2">
      <c r="A762" s="66"/>
      <c r="B762" s="66"/>
    </row>
    <row r="763" spans="1:2">
      <c r="A763" s="66"/>
      <c r="B763" s="66"/>
    </row>
    <row r="764" spans="1:2">
      <c r="A764" s="66"/>
      <c r="B764" s="66"/>
    </row>
    <row r="765" spans="1:2">
      <c r="A765" s="66"/>
      <c r="B765" s="66"/>
    </row>
    <row r="766" spans="1:2">
      <c r="A766" s="66"/>
      <c r="B766" s="66"/>
    </row>
    <row r="767" spans="1:2">
      <c r="A767" s="66"/>
      <c r="B767" s="66"/>
    </row>
    <row r="768" spans="1:2">
      <c r="A768" s="66"/>
      <c r="B768" s="66"/>
    </row>
    <row r="769" spans="1:2">
      <c r="A769" s="66"/>
      <c r="B769" s="66"/>
    </row>
    <row r="770" spans="1:2">
      <c r="A770" s="66"/>
      <c r="B770" s="66"/>
    </row>
    <row r="771" spans="1:2">
      <c r="A771" s="66"/>
      <c r="B771" s="66"/>
    </row>
    <row r="772" spans="1:2">
      <c r="A772" s="66"/>
      <c r="B772" s="66"/>
    </row>
    <row r="773" spans="1:2">
      <c r="A773" s="66"/>
      <c r="B773" s="66"/>
    </row>
    <row r="774" spans="1:2">
      <c r="A774" s="66"/>
      <c r="B774" s="66"/>
    </row>
    <row r="775" spans="1:2">
      <c r="A775" s="66"/>
      <c r="B775" s="66"/>
    </row>
    <row r="776" spans="1:2">
      <c r="A776" s="66"/>
      <c r="B776" s="66"/>
    </row>
    <row r="777" spans="1:2">
      <c r="A777" s="66"/>
      <c r="B777" s="66"/>
    </row>
    <row r="778" spans="1:2">
      <c r="A778" s="66"/>
      <c r="B778" s="66"/>
    </row>
    <row r="779" spans="1:2">
      <c r="A779" s="66"/>
      <c r="B779" s="66"/>
    </row>
    <row r="780" spans="1:2">
      <c r="A780" s="66"/>
      <c r="B780" s="66"/>
    </row>
    <row r="781" spans="1:2">
      <c r="A781" s="66"/>
      <c r="B781" s="66"/>
    </row>
    <row r="782" spans="1:2">
      <c r="A782" s="66"/>
      <c r="B782" s="66"/>
    </row>
    <row r="783" spans="1:2">
      <c r="A783" s="66"/>
      <c r="B783" s="66"/>
    </row>
    <row r="784" spans="1:2">
      <c r="A784" s="66"/>
      <c r="B784" s="66"/>
    </row>
    <row r="785" spans="1:2">
      <c r="A785" s="66"/>
      <c r="B785" s="66"/>
    </row>
    <row r="786" spans="1:2">
      <c r="A786" s="66"/>
      <c r="B786" s="66"/>
    </row>
    <row r="787" spans="1:2">
      <c r="A787" s="66"/>
      <c r="B787" s="66"/>
    </row>
    <row r="788" spans="1:2">
      <c r="A788" s="66"/>
      <c r="B788" s="66"/>
    </row>
    <row r="789" spans="1:2">
      <c r="A789" s="66"/>
      <c r="B789" s="66"/>
    </row>
    <row r="790" spans="1:2">
      <c r="A790" s="66"/>
      <c r="B790" s="66"/>
    </row>
    <row r="791" spans="1:2">
      <c r="A791" s="66"/>
      <c r="B791" s="66"/>
    </row>
    <row r="792" spans="1:2">
      <c r="A792" s="66"/>
      <c r="B792" s="66"/>
    </row>
    <row r="793" spans="1:2">
      <c r="A793" s="66"/>
      <c r="B793" s="66"/>
    </row>
    <row r="794" spans="1:2">
      <c r="A794" s="66"/>
      <c r="B794" s="66"/>
    </row>
    <row r="795" spans="1:2">
      <c r="A795" s="66"/>
      <c r="B795" s="66"/>
    </row>
    <row r="796" spans="1:2">
      <c r="A796" s="66"/>
      <c r="B796" s="66"/>
    </row>
    <row r="797" spans="1:2">
      <c r="A797" s="66"/>
      <c r="B797" s="66"/>
    </row>
    <row r="798" spans="1:2">
      <c r="A798" s="66"/>
      <c r="B798" s="66"/>
    </row>
    <row r="799" spans="1:2">
      <c r="A799" s="66"/>
      <c r="B799" s="66"/>
    </row>
    <row r="800" spans="1:2">
      <c r="A800" s="66"/>
      <c r="B800" s="66"/>
    </row>
    <row r="801" spans="1:2">
      <c r="A801" s="66"/>
      <c r="B801" s="66"/>
    </row>
    <row r="802" spans="1:2">
      <c r="A802" s="66"/>
      <c r="B802" s="66"/>
    </row>
    <row r="803" spans="1:2">
      <c r="A803" s="66"/>
      <c r="B803" s="66"/>
    </row>
    <row r="804" spans="1:2">
      <c r="A804" s="66"/>
      <c r="B804" s="66"/>
    </row>
    <row r="805" spans="1:2">
      <c r="A805" s="66"/>
      <c r="B805" s="66"/>
    </row>
    <row r="806" spans="1:2">
      <c r="A806" s="66"/>
      <c r="B806" s="66"/>
    </row>
    <row r="807" spans="1:2">
      <c r="A807" s="66"/>
      <c r="B807" s="66"/>
    </row>
    <row r="808" spans="1:2">
      <c r="A808" s="66"/>
      <c r="B808" s="66"/>
    </row>
    <row r="809" spans="1:2">
      <c r="A809" s="66"/>
      <c r="B809" s="66"/>
    </row>
    <row r="810" spans="1:2">
      <c r="A810" s="66"/>
      <c r="B810" s="66"/>
    </row>
    <row r="811" spans="1:2">
      <c r="A811" s="66"/>
      <c r="B811" s="66"/>
    </row>
    <row r="812" spans="1:2">
      <c r="A812" s="66"/>
      <c r="B812" s="66"/>
    </row>
    <row r="813" spans="1:2">
      <c r="A813" s="66"/>
      <c r="B813" s="66"/>
    </row>
    <row r="814" spans="1:2">
      <c r="A814" s="66"/>
      <c r="B814" s="66"/>
    </row>
    <row r="815" spans="1:2">
      <c r="A815" s="66"/>
      <c r="B815" s="66"/>
    </row>
    <row r="816" spans="1:2">
      <c r="A816" s="66"/>
      <c r="B816" s="66"/>
    </row>
    <row r="817" spans="1:2">
      <c r="A817" s="66"/>
      <c r="B817" s="66"/>
    </row>
    <row r="818" spans="1:2">
      <c r="A818" s="66"/>
      <c r="B818" s="66"/>
    </row>
    <row r="819" spans="1:2">
      <c r="A819" s="66"/>
      <c r="B819" s="66"/>
    </row>
    <row r="820" spans="1:2">
      <c r="A820" s="66"/>
      <c r="B820" s="66"/>
    </row>
    <row r="821" spans="1:2">
      <c r="A821" s="66"/>
      <c r="B821" s="66"/>
    </row>
    <row r="822" spans="1:2">
      <c r="A822" s="66"/>
      <c r="B822" s="66"/>
    </row>
    <row r="823" spans="1:2">
      <c r="A823" s="66"/>
      <c r="B823" s="66"/>
    </row>
    <row r="824" spans="1:2">
      <c r="A824" s="66"/>
      <c r="B824" s="66"/>
    </row>
    <row r="825" spans="1:2">
      <c r="A825" s="66"/>
      <c r="B825" s="66"/>
    </row>
    <row r="826" spans="1:2">
      <c r="A826" s="66"/>
      <c r="B826" s="66"/>
    </row>
    <row r="827" spans="1:2">
      <c r="A827" s="66"/>
      <c r="B827" s="66"/>
    </row>
    <row r="828" spans="1:2">
      <c r="A828" s="66"/>
      <c r="B828" s="66"/>
    </row>
    <row r="829" spans="1:2">
      <c r="A829" s="66"/>
      <c r="B829" s="66"/>
    </row>
    <row r="830" spans="1:2">
      <c r="A830" s="66"/>
      <c r="B830" s="66"/>
    </row>
    <row r="831" spans="1:2">
      <c r="A831" s="66"/>
      <c r="B831" s="66"/>
    </row>
    <row r="832" spans="1:2">
      <c r="A832" s="66"/>
      <c r="B832" s="66"/>
    </row>
    <row r="833" spans="1:2">
      <c r="A833" s="66"/>
      <c r="B833" s="66"/>
    </row>
    <row r="834" spans="1:2">
      <c r="A834" s="66"/>
      <c r="B834" s="66"/>
    </row>
    <row r="835" spans="1:2">
      <c r="A835" s="66"/>
      <c r="B835" s="66"/>
    </row>
    <row r="836" spans="1:2">
      <c r="A836" s="66"/>
      <c r="B836" s="66"/>
    </row>
    <row r="837" spans="1:2">
      <c r="A837" s="66"/>
      <c r="B837" s="66"/>
    </row>
    <row r="838" spans="1:2">
      <c r="A838" s="66"/>
      <c r="B838" s="66"/>
    </row>
    <row r="839" spans="1:2">
      <c r="A839" s="66"/>
      <c r="B839" s="66"/>
    </row>
    <row r="840" spans="1:2">
      <c r="A840" s="66"/>
      <c r="B840" s="66"/>
    </row>
    <row r="841" spans="1:2">
      <c r="A841" s="66"/>
      <c r="B841" s="66"/>
    </row>
    <row r="842" spans="1:2">
      <c r="A842" s="66"/>
      <c r="B842" s="66"/>
    </row>
    <row r="843" spans="1:2">
      <c r="A843" s="66"/>
      <c r="B843" s="66"/>
    </row>
    <row r="844" spans="1:2">
      <c r="A844" s="66"/>
      <c r="B844" s="66"/>
    </row>
    <row r="845" spans="1:2">
      <c r="A845" s="66"/>
      <c r="B845" s="66"/>
    </row>
    <row r="846" spans="1:2">
      <c r="A846" s="66"/>
      <c r="B846" s="66"/>
    </row>
    <row r="847" spans="1:2">
      <c r="A847" s="66"/>
      <c r="B847" s="66"/>
    </row>
    <row r="848" spans="1:2">
      <c r="A848" s="66"/>
      <c r="B848" s="66"/>
    </row>
    <row r="849" spans="1:2">
      <c r="A849" s="66"/>
      <c r="B849" s="66"/>
    </row>
    <row r="850" spans="1:2">
      <c r="A850" s="66"/>
      <c r="B850" s="66"/>
    </row>
    <row r="851" spans="1:2">
      <c r="A851" s="66"/>
      <c r="B851" s="66"/>
    </row>
    <row r="852" spans="1:2">
      <c r="A852" s="66"/>
      <c r="B852" s="66"/>
    </row>
    <row r="853" spans="1:2">
      <c r="A853" s="66"/>
      <c r="B853" s="66"/>
    </row>
    <row r="854" spans="1:2">
      <c r="A854" s="66"/>
      <c r="B854" s="66"/>
    </row>
    <row r="855" spans="1:2">
      <c r="A855" s="66"/>
      <c r="B855" s="66"/>
    </row>
    <row r="856" spans="1:2">
      <c r="A856" s="66"/>
      <c r="B856" s="66"/>
    </row>
    <row r="857" spans="1:2">
      <c r="A857" s="66"/>
      <c r="B857" s="66"/>
    </row>
    <row r="858" spans="1:2">
      <c r="A858" s="66"/>
      <c r="B858" s="66"/>
    </row>
    <row r="859" spans="1:2">
      <c r="A859" s="66"/>
      <c r="B859" s="66"/>
    </row>
    <row r="860" spans="1:2">
      <c r="A860" s="66"/>
      <c r="B860" s="66"/>
    </row>
    <row r="861" spans="1:2">
      <c r="A861" s="66"/>
      <c r="B861" s="66"/>
    </row>
    <row r="862" spans="1:2">
      <c r="A862" s="66"/>
      <c r="B862" s="66"/>
    </row>
    <row r="863" spans="1:2">
      <c r="A863" s="66"/>
      <c r="B863" s="66"/>
    </row>
    <row r="864" spans="1:2">
      <c r="A864" s="66"/>
      <c r="B864" s="66"/>
    </row>
    <row r="865" spans="1:2">
      <c r="A865" s="66"/>
      <c r="B865" s="66"/>
    </row>
    <row r="866" spans="1:2">
      <c r="A866" s="66"/>
      <c r="B866" s="66"/>
    </row>
    <row r="867" spans="1:2">
      <c r="A867" s="66"/>
      <c r="B867" s="66"/>
    </row>
    <row r="868" spans="1:2">
      <c r="A868" s="66"/>
      <c r="B868" s="66"/>
    </row>
    <row r="869" spans="1:2">
      <c r="A869" s="66"/>
      <c r="B869" s="66"/>
    </row>
    <row r="870" spans="1:2">
      <c r="A870" s="66"/>
      <c r="B870" s="66"/>
    </row>
    <row r="871" spans="1:2">
      <c r="A871" s="66"/>
      <c r="B871" s="66"/>
    </row>
    <row r="872" spans="1:2">
      <c r="A872" s="66"/>
      <c r="B872" s="66"/>
    </row>
    <row r="873" spans="1:2">
      <c r="A873" s="66"/>
      <c r="B873" s="66"/>
    </row>
    <row r="874" spans="1:2">
      <c r="A874" s="66"/>
      <c r="B874" s="66"/>
    </row>
    <row r="875" spans="1:2">
      <c r="A875" s="66"/>
      <c r="B875" s="66"/>
    </row>
    <row r="876" spans="1:2">
      <c r="A876" s="66"/>
      <c r="B876" s="66"/>
    </row>
    <row r="877" spans="1:2">
      <c r="A877" s="66"/>
      <c r="B877" s="66"/>
    </row>
    <row r="878" spans="1:2">
      <c r="A878" s="66"/>
      <c r="B878" s="66"/>
    </row>
    <row r="879" spans="1:2">
      <c r="A879" s="66"/>
      <c r="B879" s="66"/>
    </row>
    <row r="880" spans="1:2">
      <c r="A880" s="66"/>
      <c r="B880" s="66"/>
    </row>
    <row r="881" spans="1:2">
      <c r="A881" s="66"/>
      <c r="B881" s="66"/>
    </row>
    <row r="882" spans="1:2">
      <c r="A882" s="66"/>
      <c r="B882" s="66"/>
    </row>
    <row r="883" spans="1:2">
      <c r="A883" s="66"/>
      <c r="B883" s="66"/>
    </row>
    <row r="884" spans="1:2">
      <c r="A884" s="66"/>
      <c r="B884" s="66"/>
    </row>
    <row r="885" spans="1:2">
      <c r="A885" s="66"/>
      <c r="B885" s="66"/>
    </row>
    <row r="886" spans="1:2">
      <c r="A886" s="66"/>
      <c r="B886" s="66"/>
    </row>
    <row r="887" spans="1:2">
      <c r="A887" s="66"/>
      <c r="B887" s="66"/>
    </row>
    <row r="888" spans="1:2">
      <c r="A888" s="66"/>
      <c r="B888" s="66"/>
    </row>
    <row r="889" spans="1:2">
      <c r="A889" s="66"/>
      <c r="B889" s="66"/>
    </row>
    <row r="890" spans="1:2">
      <c r="A890" s="66"/>
      <c r="B890" s="66"/>
    </row>
    <row r="891" spans="1:2">
      <c r="A891" s="66"/>
      <c r="B891" s="66"/>
    </row>
    <row r="892" spans="1:2">
      <c r="A892" s="66"/>
      <c r="B892" s="66"/>
    </row>
    <row r="893" spans="1:2">
      <c r="A893" s="66"/>
      <c r="B893" s="66"/>
    </row>
    <row r="894" spans="1:2">
      <c r="A894" s="66"/>
      <c r="B894" s="66"/>
    </row>
    <row r="895" spans="1:2">
      <c r="A895" s="66"/>
      <c r="B895" s="66"/>
    </row>
    <row r="896" spans="1:2">
      <c r="A896" s="66"/>
      <c r="B896" s="66"/>
    </row>
    <row r="897" spans="1:2">
      <c r="A897" s="66"/>
      <c r="B897" s="66"/>
    </row>
    <row r="898" spans="1:2">
      <c r="A898" s="66"/>
      <c r="B898" s="66"/>
    </row>
    <row r="899" spans="1:2">
      <c r="A899" s="66"/>
      <c r="B899" s="66"/>
    </row>
    <row r="900" spans="1:2">
      <c r="A900" s="66"/>
      <c r="B900" s="66"/>
    </row>
    <row r="901" spans="1:2">
      <c r="A901" s="66"/>
      <c r="B901" s="66"/>
    </row>
    <row r="902" spans="1:2">
      <c r="A902" s="66"/>
      <c r="B902" s="66"/>
    </row>
    <row r="903" spans="1:2">
      <c r="A903" s="66"/>
      <c r="B903" s="66"/>
    </row>
    <row r="904" spans="1:2">
      <c r="A904" s="66"/>
      <c r="B904" s="66"/>
    </row>
    <row r="905" spans="1:2">
      <c r="A905" s="66"/>
      <c r="B905" s="66"/>
    </row>
    <row r="906" spans="1:2">
      <c r="A906" s="66"/>
      <c r="B906" s="66"/>
    </row>
    <row r="907" spans="1:2">
      <c r="A907" s="66"/>
      <c r="B907" s="66"/>
    </row>
    <row r="908" spans="1:2">
      <c r="A908" s="66"/>
      <c r="B908" s="66"/>
    </row>
    <row r="909" spans="1:2">
      <c r="A909" s="66"/>
      <c r="B909" s="66"/>
    </row>
    <row r="910" spans="1:2">
      <c r="A910" s="66"/>
      <c r="B910" s="66"/>
    </row>
    <row r="911" spans="1:2">
      <c r="A911" s="66"/>
      <c r="B911" s="66"/>
    </row>
    <row r="912" spans="1:2">
      <c r="A912" s="66"/>
      <c r="B912" s="66"/>
    </row>
    <row r="913" spans="1:2">
      <c r="A913" s="66"/>
      <c r="B913" s="66"/>
    </row>
    <row r="914" spans="1:2">
      <c r="A914" s="66"/>
      <c r="B914" s="66"/>
    </row>
    <row r="915" spans="1:2">
      <c r="A915" s="66"/>
      <c r="B915" s="66"/>
    </row>
    <row r="916" spans="1:2">
      <c r="A916" s="66"/>
      <c r="B916" s="66"/>
    </row>
    <row r="917" spans="1:2">
      <c r="A917" s="66"/>
      <c r="B917" s="66"/>
    </row>
    <row r="918" spans="1:2">
      <c r="A918" s="66"/>
      <c r="B918" s="66"/>
    </row>
    <row r="919" spans="1:2">
      <c r="A919" s="66"/>
      <c r="B919" s="66"/>
    </row>
    <row r="920" spans="1:2">
      <c r="A920" s="66"/>
      <c r="B920" s="66"/>
    </row>
    <row r="921" spans="1:2">
      <c r="A921" s="66"/>
      <c r="B921" s="66"/>
    </row>
    <row r="922" spans="1:2">
      <c r="A922" s="66"/>
      <c r="B922" s="66"/>
    </row>
    <row r="923" spans="1:2">
      <c r="A923" s="66"/>
      <c r="B923" s="66"/>
    </row>
    <row r="924" spans="1:2">
      <c r="A924" s="66"/>
      <c r="B924" s="66"/>
    </row>
    <row r="925" spans="1:2">
      <c r="A925" s="66"/>
      <c r="B925" s="66"/>
    </row>
    <row r="926" spans="1:2">
      <c r="A926" s="66"/>
      <c r="B926" s="66"/>
    </row>
    <row r="927" spans="1:2">
      <c r="A927" s="66"/>
      <c r="B927" s="66"/>
    </row>
    <row r="928" spans="1:2">
      <c r="A928" s="66"/>
      <c r="B928" s="66"/>
    </row>
    <row r="929" spans="1:2">
      <c r="A929" s="66"/>
      <c r="B929" s="66"/>
    </row>
    <row r="930" spans="1:2">
      <c r="A930" s="66"/>
      <c r="B930" s="66"/>
    </row>
    <row r="931" spans="1:2">
      <c r="A931" s="66"/>
      <c r="B931" s="66"/>
    </row>
    <row r="932" spans="1:2">
      <c r="A932" s="66"/>
      <c r="B932" s="66"/>
    </row>
    <row r="933" spans="1:2">
      <c r="A933" s="66"/>
      <c r="B933" s="66"/>
    </row>
    <row r="934" spans="1:2">
      <c r="A934" s="66"/>
      <c r="B934" s="66"/>
    </row>
    <row r="935" spans="1:2">
      <c r="A935" s="66"/>
      <c r="B935" s="66"/>
    </row>
    <row r="936" spans="1:2">
      <c r="A936" s="66"/>
      <c r="B936" s="66"/>
    </row>
    <row r="937" spans="1:2">
      <c r="A937" s="66"/>
      <c r="B937" s="66"/>
    </row>
    <row r="938" spans="1:2">
      <c r="A938" s="66"/>
      <c r="B938" s="66"/>
    </row>
    <row r="939" spans="1:2">
      <c r="A939" s="66"/>
      <c r="B939" s="66"/>
    </row>
    <row r="940" spans="1:2">
      <c r="A940" s="66"/>
      <c r="B940" s="66"/>
    </row>
    <row r="941" spans="1:2">
      <c r="A941" s="66"/>
      <c r="B941" s="66"/>
    </row>
    <row r="942" spans="1:2">
      <c r="A942" s="66"/>
      <c r="B942" s="66"/>
    </row>
    <row r="943" spans="1:2">
      <c r="A943" s="66"/>
      <c r="B943" s="66"/>
    </row>
    <row r="944" spans="1:2">
      <c r="A944" s="66"/>
      <c r="B944" s="66"/>
    </row>
    <row r="945" spans="1:2">
      <c r="A945" s="66"/>
      <c r="B945" s="66"/>
    </row>
    <row r="946" spans="1:2">
      <c r="A946" s="66"/>
      <c r="B946" s="66"/>
    </row>
    <row r="947" spans="1:2">
      <c r="A947" s="66"/>
      <c r="B947" s="66"/>
    </row>
    <row r="948" spans="1:2">
      <c r="A948" s="66"/>
      <c r="B948" s="66"/>
    </row>
    <row r="949" spans="1:2">
      <c r="A949" s="66"/>
      <c r="B949" s="66"/>
    </row>
    <row r="950" spans="1:2">
      <c r="A950" s="66"/>
      <c r="B950" s="66"/>
    </row>
    <row r="951" spans="1:2">
      <c r="A951" s="66"/>
      <c r="B951" s="66"/>
    </row>
    <row r="952" spans="1:2">
      <c r="A952" s="66"/>
      <c r="B952" s="66"/>
    </row>
    <row r="953" spans="1:2">
      <c r="A953" s="66"/>
      <c r="B953" s="66"/>
    </row>
    <row r="954" spans="1:2">
      <c r="A954" s="66"/>
      <c r="B954" s="66"/>
    </row>
    <row r="955" spans="1:2">
      <c r="A955" s="66"/>
      <c r="B955" s="66"/>
    </row>
    <row r="956" spans="1:2">
      <c r="A956" s="66"/>
      <c r="B956" s="66"/>
    </row>
    <row r="957" spans="1:2">
      <c r="A957" s="66"/>
      <c r="B957" s="66"/>
    </row>
    <row r="958" spans="1:2">
      <c r="A958" s="66"/>
      <c r="B958" s="66"/>
    </row>
    <row r="959" spans="1:2">
      <c r="A959" s="66"/>
      <c r="B959" s="66"/>
    </row>
    <row r="960" spans="1:2">
      <c r="A960" s="66"/>
      <c r="B960" s="66"/>
    </row>
    <row r="961" spans="1:2">
      <c r="A961" s="66"/>
      <c r="B961" s="66"/>
    </row>
    <row r="962" spans="1:2">
      <c r="A962" s="66"/>
      <c r="B962" s="66"/>
    </row>
    <row r="963" spans="1:2">
      <c r="A963" s="66"/>
      <c r="B963" s="66"/>
    </row>
    <row r="964" spans="1:2">
      <c r="A964" s="66"/>
      <c r="B964" s="66"/>
    </row>
    <row r="965" spans="1:2">
      <c r="A965" s="66"/>
      <c r="B965" s="66"/>
    </row>
    <row r="966" spans="1:2">
      <c r="A966" s="66"/>
      <c r="B966" s="66"/>
    </row>
    <row r="967" spans="1:2">
      <c r="A967" s="66"/>
      <c r="B967" s="66"/>
    </row>
    <row r="968" spans="1:2">
      <c r="A968" s="66"/>
      <c r="B968" s="66"/>
    </row>
    <row r="969" spans="1:2">
      <c r="A969" s="66"/>
      <c r="B969" s="66"/>
    </row>
    <row r="970" spans="1:2">
      <c r="A970" s="66"/>
      <c r="B970" s="66"/>
    </row>
    <row r="971" spans="1:2">
      <c r="A971" s="66"/>
      <c r="B971" s="66"/>
    </row>
    <row r="972" spans="1:2">
      <c r="A972" s="66"/>
      <c r="B972" s="66"/>
    </row>
    <row r="973" spans="1:2">
      <c r="A973" s="66"/>
      <c r="B973" s="66"/>
    </row>
    <row r="974" spans="1:2">
      <c r="A974" s="66"/>
      <c r="B974" s="66"/>
    </row>
    <row r="975" spans="1:2">
      <c r="A975" s="66"/>
      <c r="B975" s="66"/>
    </row>
    <row r="976" spans="1:2">
      <c r="A976" s="66"/>
      <c r="B976" s="66"/>
    </row>
    <row r="977" spans="1:2">
      <c r="A977" s="66"/>
      <c r="B977" s="66"/>
    </row>
    <row r="978" spans="1:2">
      <c r="A978" s="66"/>
      <c r="B978" s="66"/>
    </row>
    <row r="979" spans="1:2">
      <c r="A979" s="66"/>
      <c r="B979" s="66"/>
    </row>
    <row r="980" spans="1:2">
      <c r="A980" s="66"/>
      <c r="B980" s="66"/>
    </row>
    <row r="981" spans="1:2">
      <c r="A981" s="66"/>
      <c r="B981" s="66"/>
    </row>
    <row r="982" spans="1:2">
      <c r="A982" s="66"/>
      <c r="B982" s="66"/>
    </row>
    <row r="983" spans="1:2">
      <c r="A983" s="66"/>
      <c r="B983" s="66"/>
    </row>
    <row r="984" spans="1:2">
      <c r="A984" s="66"/>
      <c r="B984" s="66"/>
    </row>
    <row r="985" spans="1:2">
      <c r="A985" s="66"/>
      <c r="B985" s="66"/>
    </row>
    <row r="986" spans="1:2">
      <c r="A986" s="66"/>
      <c r="B986" s="66"/>
    </row>
    <row r="987" spans="1:2">
      <c r="A987" s="66"/>
      <c r="B987" s="66"/>
    </row>
    <row r="988" spans="1:2">
      <c r="A988" s="66"/>
      <c r="B988" s="66"/>
    </row>
    <row r="989" spans="1:2">
      <c r="A989" s="66"/>
      <c r="B989" s="66"/>
    </row>
    <row r="990" spans="1:2">
      <c r="A990" s="66"/>
      <c r="B990" s="66"/>
    </row>
    <row r="991" spans="1:2">
      <c r="A991" s="66"/>
      <c r="B991" s="66"/>
    </row>
    <row r="992" spans="1:2">
      <c r="A992" s="66"/>
      <c r="B992" s="66"/>
    </row>
    <row r="993" spans="1:2">
      <c r="A993" s="66"/>
      <c r="B993" s="66"/>
    </row>
    <row r="994" spans="1:2">
      <c r="A994" s="66"/>
      <c r="B994" s="66"/>
    </row>
    <row r="995" spans="1:2">
      <c r="A995" s="66"/>
      <c r="B995" s="66"/>
    </row>
    <row r="996" spans="1:2">
      <c r="A996" s="66"/>
      <c r="B996" s="66"/>
    </row>
    <row r="997" spans="1:2">
      <c r="A997" s="66"/>
      <c r="B997" s="66"/>
    </row>
    <row r="998" spans="1:2">
      <c r="A998" s="66"/>
      <c r="B998" s="66"/>
    </row>
    <row r="999" spans="1:2">
      <c r="A999" s="66"/>
      <c r="B999" s="66"/>
    </row>
    <row r="1000" spans="1:2">
      <c r="A1000" s="66"/>
      <c r="B1000" s="66"/>
    </row>
    <row r="1001" spans="1:2">
      <c r="A1001" s="66"/>
      <c r="B1001" s="66"/>
    </row>
    <row r="1002" spans="1:2">
      <c r="A1002" s="66"/>
      <c r="B1002" s="66"/>
    </row>
    <row r="1003" spans="1:2">
      <c r="A1003" s="66"/>
      <c r="B1003" s="66"/>
    </row>
    <row r="1004" spans="1:2">
      <c r="A1004" s="66"/>
      <c r="B1004" s="66"/>
    </row>
    <row r="1005" spans="1:2">
      <c r="A1005" s="66"/>
      <c r="B1005" s="66"/>
    </row>
    <row r="1006" spans="1:2">
      <c r="A1006" s="66"/>
      <c r="B1006" s="66"/>
    </row>
    <row r="1007" spans="1:2">
      <c r="A1007" s="66"/>
      <c r="B1007" s="66"/>
    </row>
    <row r="1008" spans="1:2">
      <c r="A1008" s="66"/>
      <c r="B1008" s="66"/>
    </row>
  </sheetData>
  <mergeCells count="40">
    <mergeCell ref="D7:E7"/>
    <mergeCell ref="D9:E9"/>
    <mergeCell ref="D10:E10"/>
    <mergeCell ref="D11:E11"/>
    <mergeCell ref="D12:E12"/>
    <mergeCell ref="D8:E8"/>
    <mergeCell ref="D13:E13"/>
    <mergeCell ref="D14:E14"/>
    <mergeCell ref="D15:E15"/>
    <mergeCell ref="D21:E21"/>
    <mergeCell ref="D16:E16"/>
    <mergeCell ref="D19:E19"/>
    <mergeCell ref="E33:G33"/>
    <mergeCell ref="D17:E17"/>
    <mergeCell ref="D18:E18"/>
    <mergeCell ref="D20:E20"/>
    <mergeCell ref="D24:E24"/>
    <mergeCell ref="D27:E27"/>
    <mergeCell ref="D23:E23"/>
    <mergeCell ref="D25:E25"/>
    <mergeCell ref="D26:E26"/>
    <mergeCell ref="D22:E22"/>
    <mergeCell ref="D28:E28"/>
    <mergeCell ref="D30:E30"/>
    <mergeCell ref="D29:E29"/>
    <mergeCell ref="A1:K2"/>
    <mergeCell ref="M1:M2"/>
    <mergeCell ref="A4:A5"/>
    <mergeCell ref="C4:C5"/>
    <mergeCell ref="D4:D5"/>
    <mergeCell ref="E4:E5"/>
    <mergeCell ref="F4:F5"/>
    <mergeCell ref="I4:I5"/>
    <mergeCell ref="L1:L2"/>
    <mergeCell ref="L4:M4"/>
    <mergeCell ref="L5:M5"/>
    <mergeCell ref="H4:H5"/>
    <mergeCell ref="G4:G5"/>
    <mergeCell ref="J4:J5"/>
    <mergeCell ref="B4:B5"/>
  </mergeCells>
  <pageMargins left="0.23622047244094491" right="0.23622047244094491" top="0.15748031496062992" bottom="0.74803149606299213" header="0.31496062992125984" footer="0.31496062992125984"/>
  <pageSetup scale="5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B4F99B-AF96-4032-8BFB-1406D0B4B323}">
          <x14:formula1>
            <xm:f>Hoja1!$B$3:$B$4</xm:f>
          </x14:formula1>
          <xm:sqref>B8:B30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998"/>
  <sheetViews>
    <sheetView view="pageBreakPreview" zoomScale="80" zoomScaleNormal="100" zoomScaleSheetLayoutView="80" workbookViewId="0">
      <selection activeCell="D9" sqref="D9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5.296875" style="74" customWidth="1"/>
    <col min="8" max="8" width="16.69921875" style="74" customWidth="1"/>
    <col min="9" max="9" width="14.69921875" style="74" customWidth="1"/>
    <col min="10" max="10" width="6.69921875" customWidth="1"/>
    <col min="11" max="11" width="27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33" t="s">
        <v>221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>
        <v>1500000</v>
      </c>
      <c r="F4" s="326" t="s">
        <v>3</v>
      </c>
      <c r="G4" s="326">
        <f>H9</f>
        <v>0</v>
      </c>
      <c r="H4" s="328" t="s">
        <v>4</v>
      </c>
      <c r="I4" s="328">
        <f>E4-G4</f>
        <v>1500000</v>
      </c>
      <c r="J4" s="351"/>
      <c r="K4" s="33" t="s">
        <v>5</v>
      </c>
      <c r="L4" s="377">
        <f>G4/E4</f>
        <v>0</v>
      </c>
      <c r="M4" s="378"/>
    </row>
    <row r="5" spans="1:13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77">
        <f>M8</f>
        <v>0</v>
      </c>
      <c r="M5" s="378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3" ht="25.35">
      <c r="A7" s="7" t="s">
        <v>7</v>
      </c>
      <c r="B7" s="7" t="s">
        <v>228</v>
      </c>
      <c r="C7" s="7" t="s">
        <v>8</v>
      </c>
      <c r="D7" s="380" t="s">
        <v>9</v>
      </c>
      <c r="E7" s="381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32.15" customHeight="1">
      <c r="A8" s="22">
        <v>1</v>
      </c>
      <c r="B8" s="40">
        <v>2025</v>
      </c>
      <c r="C8" s="54" t="s">
        <v>65</v>
      </c>
      <c r="D8" s="430" t="s">
        <v>286</v>
      </c>
      <c r="E8" s="430"/>
      <c r="F8" s="75"/>
      <c r="G8" s="76"/>
      <c r="H8" s="76"/>
      <c r="I8" s="77"/>
      <c r="J8" s="34"/>
      <c r="K8" s="26" t="s">
        <v>45</v>
      </c>
      <c r="L8" s="31">
        <v>0</v>
      </c>
      <c r="M8" s="31">
        <v>0</v>
      </c>
    </row>
    <row r="9" spans="1:13" ht="14.25" customHeight="1">
      <c r="E9" s="11" t="s">
        <v>20</v>
      </c>
      <c r="F9" s="73">
        <f t="shared" ref="F9:I9" si="0">SUM(F8)</f>
        <v>0</v>
      </c>
      <c r="G9" s="73">
        <f t="shared" si="0"/>
        <v>0</v>
      </c>
      <c r="H9" s="73">
        <f t="shared" si="0"/>
        <v>0</v>
      </c>
      <c r="I9" s="73">
        <f t="shared" si="0"/>
        <v>0</v>
      </c>
    </row>
    <row r="10" spans="1:13" ht="14.25" customHeight="1"/>
    <row r="11" spans="1:13" ht="14.25" customHeight="1">
      <c r="E11" s="322" t="s">
        <v>21</v>
      </c>
      <c r="F11" s="322"/>
      <c r="G11" s="322"/>
      <c r="H11" s="46" t="s">
        <v>1</v>
      </c>
    </row>
    <row r="12" spans="1:13" ht="14.25" customHeight="1"/>
    <row r="13" spans="1:13" ht="14.25" customHeight="1"/>
    <row r="14" spans="1:13" ht="14.25" customHeight="1"/>
    <row r="15" spans="1:13" ht="14.25" customHeight="1"/>
    <row r="16" spans="1:1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18">
    <mergeCell ref="H4:H5"/>
    <mergeCell ref="J4:J5"/>
    <mergeCell ref="A1:K2"/>
    <mergeCell ref="A4:A5"/>
    <mergeCell ref="C4:C5"/>
    <mergeCell ref="D4:D5"/>
    <mergeCell ref="E4:E5"/>
    <mergeCell ref="F4:F5"/>
    <mergeCell ref="M1:M2"/>
    <mergeCell ref="I4:I5"/>
    <mergeCell ref="L1:L2"/>
    <mergeCell ref="L4:M4"/>
    <mergeCell ref="L5:M5"/>
    <mergeCell ref="D8:E8"/>
    <mergeCell ref="B4:B5"/>
    <mergeCell ref="D7:E7"/>
    <mergeCell ref="E11:G11"/>
    <mergeCell ref="G4:G5"/>
  </mergeCells>
  <pageMargins left="0.23622047244094491" right="0.23622047244094491" top="0.74803149606299213" bottom="0.74803149606299213" header="0.31496062992125984" footer="0.31496062992125984"/>
  <pageSetup scale="65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79793-4E72-4452-9666-43B772CAF8C5}">
          <x14:formula1>
            <xm:f>Hoja1!$B$3:$B$4</xm:f>
          </x14:formula1>
          <xm:sqref>B8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1000"/>
  <sheetViews>
    <sheetView zoomScale="80" zoomScaleNormal="80" workbookViewId="0">
      <selection activeCell="D11" sqref="D11:E11"/>
    </sheetView>
  </sheetViews>
  <sheetFormatPr baseColWidth="10" defaultColWidth="14.3984375" defaultRowHeight="15" customHeight="1"/>
  <cols>
    <col min="1" max="2" width="8.69921875" style="63" customWidth="1"/>
    <col min="3" max="3" width="24.296875" customWidth="1"/>
    <col min="4" max="5" width="20.296875" customWidth="1"/>
    <col min="6" max="6" width="17.296875" style="74" customWidth="1"/>
    <col min="7" max="7" width="17.09765625" style="74" customWidth="1"/>
    <col min="8" max="8" width="16.69921875" style="74" customWidth="1"/>
    <col min="9" max="9" width="18" style="74" customWidth="1"/>
    <col min="10" max="10" width="6.69921875" customWidth="1"/>
    <col min="11" max="11" width="27.69921875" customWidth="1"/>
    <col min="12" max="12" width="10.3984375" customWidth="1"/>
    <col min="13" max="13" width="14.69921875" customWidth="1"/>
    <col min="14" max="29" width="10.69921875" customWidth="1"/>
  </cols>
  <sheetData>
    <row r="1" spans="1:13" ht="14.25" customHeight="1">
      <c r="A1" s="333" t="s">
        <v>222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14.25" customHeight="1" thickTop="1" thickBot="1">
      <c r="A4" s="343" t="s">
        <v>0</v>
      </c>
      <c r="B4" s="353"/>
      <c r="C4" s="345" t="s">
        <v>1</v>
      </c>
      <c r="D4" s="347" t="s">
        <v>2</v>
      </c>
      <c r="E4" s="348">
        <v>4000000</v>
      </c>
      <c r="F4" s="326" t="s">
        <v>3</v>
      </c>
      <c r="G4" s="326">
        <f>I8*M8+I9*M9+I10*M10+I11*M11</f>
        <v>6846881.5450000009</v>
      </c>
      <c r="H4" s="328" t="s">
        <v>30</v>
      </c>
      <c r="I4" s="328">
        <f>I12-E4</f>
        <v>24903411.879999999</v>
      </c>
      <c r="J4" s="351"/>
      <c r="K4" s="33" t="s">
        <v>5</v>
      </c>
      <c r="L4" s="349">
        <f>G4/E4</f>
        <v>1.7117203862500001</v>
      </c>
      <c r="M4" s="350"/>
    </row>
    <row r="5" spans="1:13" ht="14.25" customHeight="1" thickTop="1" thickBot="1">
      <c r="A5" s="344"/>
      <c r="B5" s="354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49">
        <f>AVERAGE(M8:M11)</f>
        <v>0.33250000000000002</v>
      </c>
      <c r="M5" s="350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3" ht="25.35">
      <c r="A7" s="7" t="s">
        <v>7</v>
      </c>
      <c r="B7" s="7" t="s">
        <v>228</v>
      </c>
      <c r="C7" s="7" t="s">
        <v>8</v>
      </c>
      <c r="D7" s="380" t="s">
        <v>9</v>
      </c>
      <c r="E7" s="381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68.150000000000006" customHeight="1">
      <c r="A8" s="24">
        <v>1</v>
      </c>
      <c r="B8" s="40">
        <v>2025</v>
      </c>
      <c r="C8" s="51" t="s">
        <v>66</v>
      </c>
      <c r="D8" s="407" t="s">
        <v>241</v>
      </c>
      <c r="E8" s="408"/>
      <c r="F8" s="78">
        <f>65156378.72/1.16</f>
        <v>56169292</v>
      </c>
      <c r="G8" s="172">
        <v>28945016</v>
      </c>
      <c r="H8" s="79">
        <v>17919784.5</v>
      </c>
      <c r="I8" s="109">
        <f>H8</f>
        <v>17919784.5</v>
      </c>
      <c r="J8" s="30">
        <f>H8/F8</f>
        <v>0.31903169618018329</v>
      </c>
      <c r="K8" s="8" t="s">
        <v>19</v>
      </c>
      <c r="L8" s="30">
        <v>1</v>
      </c>
      <c r="M8" s="30">
        <v>0.33</v>
      </c>
    </row>
    <row r="9" spans="1:13" ht="14.4">
      <c r="A9" s="287">
        <v>2</v>
      </c>
      <c r="B9" s="288">
        <v>2025</v>
      </c>
      <c r="C9" s="289" t="s">
        <v>67</v>
      </c>
      <c r="D9" s="431" t="s">
        <v>284</v>
      </c>
      <c r="E9" s="432"/>
      <c r="F9" s="290">
        <f>2432129.5+970530+721085.5+1066687.5</f>
        <v>5190432.5</v>
      </c>
      <c r="G9" s="80">
        <f>757192.13+485727.64+627413.49+1722737.14</f>
        <v>3593070.4</v>
      </c>
      <c r="H9" s="80">
        <f>171950.13+439967.66+133595.32+187839.55</f>
        <v>933352.66000000015</v>
      </c>
      <c r="I9" s="110">
        <f>H9</f>
        <v>933352.66000000015</v>
      </c>
      <c r="J9" s="38">
        <f>I9/F9</f>
        <v>0.17982175088492147</v>
      </c>
      <c r="K9" s="13" t="s">
        <v>19</v>
      </c>
      <c r="L9" s="38">
        <v>1</v>
      </c>
      <c r="M9" s="38">
        <v>1</v>
      </c>
    </row>
    <row r="10" spans="1:13" ht="46.25" customHeight="1">
      <c r="A10" s="292">
        <v>3</v>
      </c>
      <c r="B10" s="293">
        <v>2026</v>
      </c>
      <c r="C10" s="294" t="s">
        <v>285</v>
      </c>
      <c r="D10" s="433" t="s">
        <v>382</v>
      </c>
      <c r="E10" s="433"/>
      <c r="F10" s="295">
        <v>19992982.800000001</v>
      </c>
      <c r="G10" s="296">
        <v>6879100</v>
      </c>
      <c r="H10" s="297">
        <v>9116922.0600000005</v>
      </c>
      <c r="I10" s="298">
        <f>H10</f>
        <v>9116922.0600000005</v>
      </c>
      <c r="J10" s="299">
        <f>H10/F10</f>
        <v>0.45600609729929842</v>
      </c>
      <c r="K10" s="300" t="s">
        <v>19</v>
      </c>
      <c r="L10" s="299">
        <v>0.98</v>
      </c>
      <c r="M10" s="299">
        <v>0</v>
      </c>
    </row>
    <row r="11" spans="1:13" ht="41.9" customHeight="1">
      <c r="A11" s="137">
        <f>A10+1</f>
        <v>4</v>
      </c>
      <c r="B11" s="108">
        <v>2026</v>
      </c>
      <c r="C11" s="42" t="s">
        <v>67</v>
      </c>
      <c r="D11" s="421" t="s">
        <v>326</v>
      </c>
      <c r="E11" s="355"/>
      <c r="F11" s="301">
        <f>2432129.5+970530+721085.5+1066687.5</f>
        <v>5190432.5</v>
      </c>
      <c r="G11" s="301">
        <f>757192.13+485727.64+627413.49+1722737.14</f>
        <v>3593070.4</v>
      </c>
      <c r="H11" s="301">
        <f>171950.13+439967.66+133595.32+187839.55</f>
        <v>933352.66000000015</v>
      </c>
      <c r="I11" s="302">
        <f>H11</f>
        <v>933352.66000000015</v>
      </c>
      <c r="J11" s="153">
        <f>I11/F11</f>
        <v>0.17982175088492147</v>
      </c>
      <c r="K11" s="154" t="s">
        <v>19</v>
      </c>
      <c r="L11" s="153">
        <v>0.5</v>
      </c>
      <c r="M11" s="153">
        <v>0</v>
      </c>
    </row>
    <row r="12" spans="1:13" ht="14.25" customHeight="1">
      <c r="A12" s="206"/>
      <c r="B12" s="206"/>
      <c r="C12" s="198"/>
      <c r="D12" s="198"/>
      <c r="E12" s="199" t="s">
        <v>20</v>
      </c>
      <c r="F12" s="180">
        <f>SUM(F8:F11)</f>
        <v>86543139.799999997</v>
      </c>
      <c r="G12" s="180">
        <f t="shared" ref="G12:H12" si="0">SUM(G8:G11)</f>
        <v>43010256.799999997</v>
      </c>
      <c r="H12" s="180">
        <f t="shared" si="0"/>
        <v>28903411.879999999</v>
      </c>
      <c r="I12" s="180">
        <f>SUM(I8:I11)</f>
        <v>28903411.879999999</v>
      </c>
      <c r="J12" s="198"/>
      <c r="K12" s="198"/>
      <c r="L12" s="198"/>
      <c r="M12" s="198"/>
    </row>
    <row r="13" spans="1:13" ht="14.25" customHeight="1"/>
    <row r="14" spans="1:13" ht="14.25" customHeight="1">
      <c r="E14" s="322" t="s">
        <v>21</v>
      </c>
      <c r="F14" s="322"/>
      <c r="G14" s="322"/>
      <c r="H14" s="46">
        <f>H12/F12</f>
        <v>0.33397692696145975</v>
      </c>
    </row>
    <row r="15" spans="1:13" ht="14.25" customHeight="1"/>
    <row r="16" spans="1:13" ht="14.25" customHeight="1"/>
    <row r="17" spans="4:11" ht="14.25" customHeight="1"/>
    <row r="18" spans="4:11" ht="14.25" customHeight="1"/>
    <row r="19" spans="4:11" ht="14.25" customHeight="1"/>
    <row r="20" spans="4:11" ht="14.25" customHeight="1"/>
    <row r="21" spans="4:11" ht="14.25" customHeight="1">
      <c r="K21" s="74"/>
    </row>
    <row r="22" spans="4:11" ht="14.25" customHeight="1"/>
    <row r="23" spans="4:11" ht="14.25" customHeight="1"/>
    <row r="24" spans="4:11" ht="14.25" customHeight="1">
      <c r="D24" s="231"/>
    </row>
    <row r="25" spans="4:11" ht="14.25" customHeight="1">
      <c r="D25" s="231"/>
    </row>
    <row r="26" spans="4:11" ht="14.25" customHeight="1">
      <c r="D26" s="231"/>
      <c r="K26" s="74"/>
    </row>
    <row r="27" spans="4:11" ht="14.25" customHeight="1">
      <c r="D27" s="231"/>
    </row>
    <row r="28" spans="4:11" ht="14.25" customHeight="1">
      <c r="D28" s="231"/>
    </row>
    <row r="29" spans="4:11" ht="14.25" customHeight="1"/>
    <row r="30" spans="4:11" ht="14.25" customHeight="1"/>
    <row r="31" spans="4:11" ht="14.25" customHeight="1"/>
    <row r="32" spans="4:1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D8:E8"/>
    <mergeCell ref="D9:E9"/>
    <mergeCell ref="E14:G14"/>
    <mergeCell ref="D7:E7"/>
    <mergeCell ref="G4:G5"/>
    <mergeCell ref="D10:E10"/>
    <mergeCell ref="D11:E11"/>
    <mergeCell ref="M1:M2"/>
    <mergeCell ref="I4:I5"/>
    <mergeCell ref="L1:L2"/>
    <mergeCell ref="L4:M4"/>
    <mergeCell ref="L5:M5"/>
    <mergeCell ref="J4:J5"/>
    <mergeCell ref="H4:H5"/>
    <mergeCell ref="A1:K2"/>
    <mergeCell ref="A4:A5"/>
    <mergeCell ref="C4:C5"/>
    <mergeCell ref="D4:D5"/>
    <mergeCell ref="E4:E5"/>
    <mergeCell ref="F4:F5"/>
    <mergeCell ref="B4:B5"/>
  </mergeCells>
  <pageMargins left="0.23622047244094491" right="0.23622047244094491" top="0.74803149606299213" bottom="0.74803149606299213" header="0.31496062992125984" footer="0.31496062992125984"/>
  <pageSetup scale="64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D6A928-DAA3-47CE-AD3C-49443AF2A993}">
          <x14:formula1>
            <xm:f>Hoja1!$B$3:$B$4</xm:f>
          </x14:formula1>
          <xm:sqref>B8:B11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9DBDF-B66D-4C5C-9DE8-156A60EBC3D5}">
  <dimension ref="A1:N50"/>
  <sheetViews>
    <sheetView topLeftCell="A32" zoomScale="70" zoomScaleNormal="70" workbookViewId="0">
      <selection activeCell="M6" sqref="M6"/>
    </sheetView>
  </sheetViews>
  <sheetFormatPr baseColWidth="10" defaultColWidth="14.3984375" defaultRowHeight="14.4"/>
  <cols>
    <col min="1" max="1" width="8.69921875" style="234" customWidth="1"/>
    <col min="2" max="2" width="7.3984375" style="234" customWidth="1"/>
    <col min="3" max="3" width="18.09765625" style="234" customWidth="1"/>
    <col min="4" max="4" width="37.3984375" style="234" customWidth="1"/>
    <col min="5" max="5" width="25.69921875" style="234" customWidth="1"/>
    <col min="6" max="6" width="22.69921875" style="234" customWidth="1"/>
    <col min="7" max="7" width="17.69921875" style="284" customWidth="1"/>
    <col min="8" max="8" width="21.3984375" style="284" customWidth="1"/>
    <col min="9" max="9" width="19.296875" style="284" customWidth="1"/>
    <col min="10" max="10" width="19" style="284" customWidth="1"/>
    <col min="11" max="11" width="7" style="234" bestFit="1" customWidth="1"/>
    <col min="12" max="12" width="21.69921875" style="234" customWidth="1"/>
    <col min="13" max="13" width="10.59765625" style="234" customWidth="1"/>
    <col min="14" max="14" width="14.296875" style="234" customWidth="1"/>
    <col min="15" max="16384" width="14.3984375" style="234"/>
  </cols>
  <sheetData>
    <row r="1" spans="1:14">
      <c r="A1" s="453" t="s">
        <v>223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34">
        <f ca="1">TODAY()</f>
        <v>46205</v>
      </c>
    </row>
    <row r="2" spans="1:14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35"/>
    </row>
    <row r="3" spans="1:14" ht="18.45" thickBot="1">
      <c r="C3" s="235"/>
      <c r="D3" s="235"/>
      <c r="E3" s="235"/>
      <c r="F3" s="235"/>
      <c r="G3" s="236"/>
      <c r="H3" s="236"/>
      <c r="I3" s="236"/>
      <c r="J3" s="236"/>
      <c r="K3" s="237"/>
      <c r="L3" s="235"/>
      <c r="M3" s="235"/>
      <c r="N3" s="237"/>
    </row>
    <row r="4" spans="1:14" ht="15.55" thickTop="1" thickBot="1">
      <c r="A4" s="436" t="s">
        <v>0</v>
      </c>
      <c r="B4" s="438"/>
      <c r="C4" s="440" t="s">
        <v>1</v>
      </c>
      <c r="D4" s="442" t="s">
        <v>2</v>
      </c>
      <c r="E4" s="443">
        <f>G47</f>
        <v>13790000</v>
      </c>
      <c r="F4" s="443"/>
      <c r="G4" s="445" t="s">
        <v>3</v>
      </c>
      <c r="H4" s="445">
        <f>J14*N14+J13*N13+J33*N33+J41*N41</f>
        <v>2067853.8996446179</v>
      </c>
      <c r="I4" s="452" t="s">
        <v>4</v>
      </c>
      <c r="J4" s="452">
        <f>E4-H4</f>
        <v>11722146.100355383</v>
      </c>
      <c r="K4" s="447" t="s">
        <v>5</v>
      </c>
      <c r="L4" s="448"/>
      <c r="M4" s="449">
        <f>H4/E4</f>
        <v>0.14995314718235084</v>
      </c>
      <c r="N4" s="450"/>
    </row>
    <row r="5" spans="1:14" ht="15.55" thickTop="1" thickBot="1">
      <c r="A5" s="437"/>
      <c r="B5" s="439"/>
      <c r="C5" s="441"/>
      <c r="D5" s="441"/>
      <c r="E5" s="441"/>
      <c r="F5" s="444"/>
      <c r="G5" s="446"/>
      <c r="H5" s="446"/>
      <c r="I5" s="446"/>
      <c r="J5" s="446"/>
      <c r="K5" s="447" t="s">
        <v>6</v>
      </c>
      <c r="L5" s="448"/>
      <c r="M5" s="449">
        <f>AVERAGE(N8:N46)</f>
        <v>0.13032319573250917</v>
      </c>
      <c r="N5" s="450"/>
    </row>
    <row r="6" spans="1:14" ht="17.850000000000001">
      <c r="C6" s="238"/>
      <c r="D6" s="238"/>
      <c r="E6" s="238"/>
      <c r="F6" s="238"/>
      <c r="G6" s="239"/>
      <c r="H6" s="239"/>
      <c r="I6" s="239"/>
      <c r="J6" s="239"/>
      <c r="K6" s="240"/>
      <c r="L6" s="238"/>
      <c r="M6" s="235"/>
      <c r="N6" s="237"/>
    </row>
    <row r="7" spans="1:14" ht="28.8">
      <c r="A7" s="241" t="s">
        <v>7</v>
      </c>
      <c r="B7" s="242" t="s">
        <v>228</v>
      </c>
      <c r="C7" s="243" t="s">
        <v>8</v>
      </c>
      <c r="D7" s="243" t="s">
        <v>9</v>
      </c>
      <c r="E7" s="243" t="s">
        <v>10</v>
      </c>
      <c r="F7" s="243"/>
      <c r="G7" s="244" t="s">
        <v>71</v>
      </c>
      <c r="H7" s="244" t="s">
        <v>189</v>
      </c>
      <c r="I7" s="244" t="s">
        <v>12</v>
      </c>
      <c r="J7" s="244" t="s">
        <v>14</v>
      </c>
      <c r="K7" s="243" t="s">
        <v>92</v>
      </c>
      <c r="L7" s="243" t="s">
        <v>15</v>
      </c>
      <c r="M7" s="243" t="s">
        <v>93</v>
      </c>
      <c r="N7" s="243" t="s">
        <v>16</v>
      </c>
    </row>
    <row r="8" spans="1:14" ht="53">
      <c r="A8" s="312">
        <v>1</v>
      </c>
      <c r="B8" s="313">
        <v>2026</v>
      </c>
      <c r="C8" s="314" t="s">
        <v>273</v>
      </c>
      <c r="D8" s="315" t="s">
        <v>274</v>
      </c>
      <c r="E8" s="316" t="s">
        <v>4</v>
      </c>
      <c r="F8" s="316" t="s">
        <v>4</v>
      </c>
      <c r="G8" s="317">
        <v>3000000</v>
      </c>
      <c r="H8" s="317"/>
      <c r="I8" s="317"/>
      <c r="J8" s="318"/>
      <c r="K8" s="319"/>
      <c r="L8" s="320" t="s">
        <v>45</v>
      </c>
      <c r="M8" s="319"/>
      <c r="N8" s="319"/>
    </row>
    <row r="9" spans="1:14" s="305" customFormat="1">
      <c r="A9" s="304">
        <v>2</v>
      </c>
      <c r="B9" s="252">
        <v>2026</v>
      </c>
      <c r="C9" s="277" t="s">
        <v>257</v>
      </c>
      <c r="D9" s="277" t="s">
        <v>245</v>
      </c>
      <c r="E9" s="278" t="s">
        <v>321</v>
      </c>
      <c r="F9" s="278" t="s">
        <v>321</v>
      </c>
      <c r="G9" s="257"/>
      <c r="H9" s="257">
        <v>2580000</v>
      </c>
      <c r="I9" s="257">
        <v>1720000</v>
      </c>
      <c r="J9" s="258">
        <v>735644</v>
      </c>
      <c r="K9" s="259">
        <f t="shared" ref="K9:K14" si="0">J9/H9</f>
        <v>0.28513333333333335</v>
      </c>
      <c r="L9" s="279" t="s">
        <v>45</v>
      </c>
      <c r="M9" s="259"/>
      <c r="N9" s="259"/>
    </row>
    <row r="10" spans="1:14" s="305" customFormat="1">
      <c r="A10" s="312">
        <v>3</v>
      </c>
      <c r="B10" s="270">
        <v>2026</v>
      </c>
      <c r="C10" s="246" t="s">
        <v>370</v>
      </c>
      <c r="D10" s="246" t="s">
        <v>371</v>
      </c>
      <c r="E10" s="247" t="s">
        <v>372</v>
      </c>
      <c r="F10" s="247" t="s">
        <v>373</v>
      </c>
      <c r="G10" s="248"/>
      <c r="H10" s="248">
        <v>986000</v>
      </c>
      <c r="I10" s="248">
        <v>628140</v>
      </c>
      <c r="J10" s="249">
        <v>287570</v>
      </c>
      <c r="K10" s="250">
        <v>0.28999999999999998</v>
      </c>
      <c r="L10" s="251" t="s">
        <v>45</v>
      </c>
      <c r="M10" s="250">
        <v>1</v>
      </c>
      <c r="N10" s="250">
        <v>0</v>
      </c>
    </row>
    <row r="11" spans="1:14" ht="39.75">
      <c r="A11" s="304">
        <v>4</v>
      </c>
      <c r="B11" s="270">
        <v>2026</v>
      </c>
      <c r="C11" s="246" t="s">
        <v>180</v>
      </c>
      <c r="D11" s="246" t="s">
        <v>332</v>
      </c>
      <c r="E11" s="247" t="s">
        <v>358</v>
      </c>
      <c r="F11" s="247" t="s">
        <v>310</v>
      </c>
      <c r="G11" s="248">
        <v>160000</v>
      </c>
      <c r="H11" s="248">
        <v>139490</v>
      </c>
      <c r="I11" s="248">
        <v>66120</v>
      </c>
      <c r="J11" s="249">
        <v>54386.29</v>
      </c>
      <c r="K11" s="250">
        <f t="shared" si="0"/>
        <v>0.38989382751451718</v>
      </c>
      <c r="L11" s="251" t="s">
        <v>45</v>
      </c>
      <c r="M11" s="250">
        <v>1</v>
      </c>
      <c r="N11" s="250">
        <v>0</v>
      </c>
    </row>
    <row r="12" spans="1:14" ht="53.3" customHeight="1">
      <c r="A12" s="312">
        <v>5</v>
      </c>
      <c r="B12" s="245">
        <v>2026</v>
      </c>
      <c r="C12" s="271" t="s">
        <v>176</v>
      </c>
      <c r="D12" s="272" t="s">
        <v>331</v>
      </c>
      <c r="E12" s="273" t="s">
        <v>359</v>
      </c>
      <c r="F12" s="247" t="s">
        <v>308</v>
      </c>
      <c r="G12" s="274"/>
      <c r="H12" s="248">
        <v>3476903.43</v>
      </c>
      <c r="I12" s="248">
        <v>1721756.96</v>
      </c>
      <c r="J12" s="249">
        <v>1234088.75</v>
      </c>
      <c r="K12" s="250">
        <f t="shared" si="0"/>
        <v>0.35493903550838624</v>
      </c>
      <c r="L12" s="275" t="s">
        <v>45</v>
      </c>
      <c r="M12" s="276">
        <v>1</v>
      </c>
      <c r="N12" s="276">
        <v>0</v>
      </c>
    </row>
    <row r="13" spans="1:14" ht="58.9" customHeight="1">
      <c r="A13" s="304">
        <v>6</v>
      </c>
      <c r="B13" s="245">
        <v>2026</v>
      </c>
      <c r="C13" s="271" t="s">
        <v>176</v>
      </c>
      <c r="D13" s="246" t="s">
        <v>323</v>
      </c>
      <c r="E13" s="273" t="s">
        <v>318</v>
      </c>
      <c r="F13" s="273" t="s">
        <v>317</v>
      </c>
      <c r="G13" s="274"/>
      <c r="H13" s="248">
        <v>2272000</v>
      </c>
      <c r="I13" s="248">
        <v>1317600</v>
      </c>
      <c r="J13" s="249">
        <v>647881.93000000005</v>
      </c>
      <c r="K13" s="250">
        <f t="shared" si="0"/>
        <v>0.28515930017605634</v>
      </c>
      <c r="L13" s="275" t="s">
        <v>45</v>
      </c>
      <c r="M13" s="276">
        <v>1</v>
      </c>
      <c r="N13" s="276">
        <v>1</v>
      </c>
    </row>
    <row r="14" spans="1:14" ht="26.35" customHeight="1">
      <c r="A14" s="312">
        <v>7</v>
      </c>
      <c r="B14" s="270">
        <v>2026</v>
      </c>
      <c r="C14" s="246" t="s">
        <v>179</v>
      </c>
      <c r="D14" s="246" t="s">
        <v>178</v>
      </c>
      <c r="E14" s="247" t="s">
        <v>360</v>
      </c>
      <c r="F14" s="273" t="s">
        <v>309</v>
      </c>
      <c r="G14" s="248"/>
      <c r="H14" s="248">
        <v>1888094.39</v>
      </c>
      <c r="I14" s="248">
        <v>1307734.1599999999</v>
      </c>
      <c r="J14" s="249">
        <v>501168.4</v>
      </c>
      <c r="K14" s="250">
        <f t="shared" si="0"/>
        <v>0.26543609400799079</v>
      </c>
      <c r="L14" s="251" t="s">
        <v>45</v>
      </c>
      <c r="M14" s="250">
        <v>1</v>
      </c>
      <c r="N14" s="250">
        <f>629364.8/H14</f>
        <v>0.33333333509878182</v>
      </c>
    </row>
    <row r="15" spans="1:14" s="305" customFormat="1" ht="26.5">
      <c r="A15" s="304">
        <v>8</v>
      </c>
      <c r="B15" s="252">
        <v>2026</v>
      </c>
      <c r="C15" s="277" t="s">
        <v>275</v>
      </c>
      <c r="D15" s="277" t="s">
        <v>276</v>
      </c>
      <c r="E15" s="278" t="s">
        <v>4</v>
      </c>
      <c r="F15" s="278" t="s">
        <v>4</v>
      </c>
      <c r="G15" s="257">
        <v>1000000</v>
      </c>
      <c r="H15" s="257"/>
      <c r="I15" s="257"/>
      <c r="J15" s="258"/>
      <c r="K15" s="259"/>
      <c r="L15" s="279" t="s">
        <v>45</v>
      </c>
      <c r="M15" s="259"/>
      <c r="N15" s="259"/>
    </row>
    <row r="16" spans="1:14" s="305" customFormat="1">
      <c r="A16" s="312">
        <v>9</v>
      </c>
      <c r="B16" s="252">
        <v>2026</v>
      </c>
      <c r="C16" s="277" t="s">
        <v>256</v>
      </c>
      <c r="D16" s="277" t="s">
        <v>245</v>
      </c>
      <c r="E16" s="278" t="s">
        <v>321</v>
      </c>
      <c r="F16" s="278" t="s">
        <v>321</v>
      </c>
      <c r="G16" s="257"/>
      <c r="H16" s="257">
        <v>2580000</v>
      </c>
      <c r="I16" s="257">
        <v>1720000</v>
      </c>
      <c r="J16" s="258">
        <v>735644</v>
      </c>
      <c r="K16" s="259">
        <f>J16/H16</f>
        <v>0.28513333333333335</v>
      </c>
      <c r="L16" s="279" t="s">
        <v>45</v>
      </c>
      <c r="M16" s="259"/>
      <c r="N16" s="259"/>
    </row>
    <row r="17" spans="1:14" s="305" customFormat="1">
      <c r="A17" s="304">
        <v>10</v>
      </c>
      <c r="B17" s="252">
        <v>2026</v>
      </c>
      <c r="C17" s="277" t="s">
        <v>255</v>
      </c>
      <c r="D17" s="277" t="s">
        <v>245</v>
      </c>
      <c r="E17" s="278" t="s">
        <v>321</v>
      </c>
      <c r="F17" s="278" t="s">
        <v>321</v>
      </c>
      <c r="G17" s="257"/>
      <c r="H17" s="257">
        <v>2580000</v>
      </c>
      <c r="I17" s="257">
        <v>1720000</v>
      </c>
      <c r="J17" s="258">
        <v>735644</v>
      </c>
      <c r="K17" s="259">
        <f>J17/H17</f>
        <v>0.28513333333333335</v>
      </c>
      <c r="L17" s="279" t="s">
        <v>45</v>
      </c>
      <c r="M17" s="259"/>
      <c r="N17" s="259"/>
    </row>
    <row r="18" spans="1:14" s="305" customFormat="1">
      <c r="A18" s="312">
        <v>11</v>
      </c>
      <c r="B18" s="252">
        <v>2026</v>
      </c>
      <c r="C18" s="253" t="s">
        <v>181</v>
      </c>
      <c r="D18" s="254" t="s">
        <v>236</v>
      </c>
      <c r="E18" s="255" t="s">
        <v>4</v>
      </c>
      <c r="F18" s="255" t="s">
        <v>4</v>
      </c>
      <c r="G18" s="256">
        <v>800000</v>
      </c>
      <c r="H18" s="257"/>
      <c r="I18" s="257"/>
      <c r="J18" s="258"/>
      <c r="K18" s="259"/>
      <c r="L18" s="260" t="s">
        <v>45</v>
      </c>
      <c r="M18" s="261"/>
      <c r="N18" s="261"/>
    </row>
    <row r="19" spans="1:14" s="305" customFormat="1">
      <c r="A19" s="304">
        <v>12</v>
      </c>
      <c r="B19" s="252">
        <v>2026</v>
      </c>
      <c r="C19" s="253" t="s">
        <v>190</v>
      </c>
      <c r="D19" s="254" t="s">
        <v>277</v>
      </c>
      <c r="E19" s="255" t="s">
        <v>4</v>
      </c>
      <c r="F19" s="255" t="s">
        <v>4</v>
      </c>
      <c r="G19" s="256">
        <v>200000</v>
      </c>
      <c r="H19" s="257"/>
      <c r="I19" s="257"/>
      <c r="J19" s="258"/>
      <c r="K19" s="259"/>
      <c r="L19" s="260" t="s">
        <v>45</v>
      </c>
      <c r="M19" s="261"/>
      <c r="N19" s="261"/>
    </row>
    <row r="20" spans="1:14" ht="26.5">
      <c r="A20" s="312">
        <v>13</v>
      </c>
      <c r="B20" s="270">
        <v>2026</v>
      </c>
      <c r="C20" s="246" t="s">
        <v>182</v>
      </c>
      <c r="D20" s="246" t="s">
        <v>258</v>
      </c>
      <c r="E20" s="247" t="s">
        <v>334</v>
      </c>
      <c r="F20" s="273" t="s">
        <v>335</v>
      </c>
      <c r="G20" s="248"/>
      <c r="H20" s="248">
        <v>2580000</v>
      </c>
      <c r="I20" s="248">
        <v>1720000</v>
      </c>
      <c r="J20" s="249">
        <v>735644</v>
      </c>
      <c r="K20" s="250">
        <f>J20/H20</f>
        <v>0.28513333333333335</v>
      </c>
      <c r="L20" s="251"/>
      <c r="M20" s="250">
        <v>1</v>
      </c>
      <c r="N20" s="250">
        <v>0</v>
      </c>
    </row>
    <row r="21" spans="1:14" ht="26.5">
      <c r="A21" s="304">
        <v>14</v>
      </c>
      <c r="B21" s="270">
        <v>2026</v>
      </c>
      <c r="C21" s="246" t="s">
        <v>182</v>
      </c>
      <c r="D21" s="246" t="s">
        <v>269</v>
      </c>
      <c r="E21" s="247" t="s">
        <v>333</v>
      </c>
      <c r="F21" s="273" t="s">
        <v>322</v>
      </c>
      <c r="G21" s="248">
        <v>300000</v>
      </c>
      <c r="H21" s="248"/>
      <c r="I21" s="248"/>
      <c r="J21" s="249"/>
      <c r="K21" s="250"/>
      <c r="L21" s="251" t="s">
        <v>45</v>
      </c>
      <c r="M21" s="250">
        <v>0</v>
      </c>
      <c r="N21" s="250">
        <v>0</v>
      </c>
    </row>
    <row r="22" spans="1:14" ht="26.5">
      <c r="A22" s="312">
        <v>15</v>
      </c>
      <c r="B22" s="270">
        <v>2026</v>
      </c>
      <c r="C22" s="246" t="s">
        <v>182</v>
      </c>
      <c r="D22" s="246" t="s">
        <v>239</v>
      </c>
      <c r="E22" s="247" t="s">
        <v>308</v>
      </c>
      <c r="F22" s="273" t="s">
        <v>402</v>
      </c>
      <c r="G22" s="248"/>
      <c r="H22" s="248">
        <v>2200000</v>
      </c>
      <c r="I22" s="248">
        <v>1307734.1599999999</v>
      </c>
      <c r="J22" s="249">
        <v>540142.85</v>
      </c>
      <c r="K22" s="250">
        <f>J22/H22</f>
        <v>0.24551947727272727</v>
      </c>
      <c r="L22" s="251" t="s">
        <v>45</v>
      </c>
      <c r="M22" s="250">
        <v>1</v>
      </c>
      <c r="N22" s="250">
        <f>500000/H22</f>
        <v>0.22727272727272727</v>
      </c>
    </row>
    <row r="23" spans="1:14" s="305" customFormat="1" ht="39.75">
      <c r="A23" s="304">
        <v>16</v>
      </c>
      <c r="B23" s="307">
        <v>2026</v>
      </c>
      <c r="C23" s="262" t="s">
        <v>185</v>
      </c>
      <c r="D23" s="308" t="s">
        <v>374</v>
      </c>
      <c r="E23" s="263" t="s">
        <v>375</v>
      </c>
      <c r="F23" s="263" t="s">
        <v>4</v>
      </c>
      <c r="G23" s="264">
        <v>300000</v>
      </c>
      <c r="H23" s="265"/>
      <c r="I23" s="265"/>
      <c r="J23" s="266"/>
      <c r="K23" s="267"/>
      <c r="L23" s="268" t="s">
        <v>45</v>
      </c>
      <c r="M23" s="269"/>
      <c r="N23" s="269"/>
    </row>
    <row r="24" spans="1:14" ht="26.5">
      <c r="A24" s="312">
        <v>17</v>
      </c>
      <c r="B24" s="307">
        <v>2026</v>
      </c>
      <c r="C24" s="262" t="s">
        <v>183</v>
      </c>
      <c r="D24" s="308" t="s">
        <v>338</v>
      </c>
      <c r="E24" s="263" t="s">
        <v>336</v>
      </c>
      <c r="F24" s="263" t="s">
        <v>322</v>
      </c>
      <c r="G24" s="264">
        <v>500000</v>
      </c>
      <c r="H24" s="265"/>
      <c r="I24" s="265"/>
      <c r="J24" s="266"/>
      <c r="K24" s="267"/>
      <c r="L24" s="268" t="s">
        <v>45</v>
      </c>
      <c r="M24" s="269">
        <v>0</v>
      </c>
      <c r="N24" s="269">
        <v>0</v>
      </c>
    </row>
    <row r="25" spans="1:14" ht="26.5">
      <c r="A25" s="304">
        <v>18</v>
      </c>
      <c r="B25" s="307">
        <v>2026</v>
      </c>
      <c r="C25" s="262" t="s">
        <v>191</v>
      </c>
      <c r="D25" s="308" t="s">
        <v>330</v>
      </c>
      <c r="E25" s="263" t="s">
        <v>337</v>
      </c>
      <c r="F25" s="263" t="s">
        <v>322</v>
      </c>
      <c r="G25" s="264"/>
      <c r="H25" s="265">
        <v>204965.23</v>
      </c>
      <c r="I25" s="265">
        <v>105413.72</v>
      </c>
      <c r="J25" s="266">
        <v>71189.14</v>
      </c>
      <c r="K25" s="267">
        <f>J25/H25</f>
        <v>0.34732300693146828</v>
      </c>
      <c r="L25" s="268" t="s">
        <v>45</v>
      </c>
      <c r="M25" s="269">
        <v>1</v>
      </c>
      <c r="N25" s="269"/>
    </row>
    <row r="26" spans="1:14">
      <c r="A26" s="312">
        <v>19</v>
      </c>
      <c r="B26" s="280">
        <v>2026</v>
      </c>
      <c r="C26" s="253" t="s">
        <v>191</v>
      </c>
      <c r="D26" s="254" t="s">
        <v>320</v>
      </c>
      <c r="E26" s="255" t="s">
        <v>321</v>
      </c>
      <c r="F26" s="255" t="s">
        <v>321</v>
      </c>
      <c r="G26" s="256"/>
      <c r="H26" s="257">
        <f>1920000+1950000+2350000</f>
        <v>6220000</v>
      </c>
      <c r="I26" s="257">
        <v>4148000</v>
      </c>
      <c r="J26" s="258">
        <v>1678006</v>
      </c>
      <c r="K26" s="259">
        <f>J26/H26</f>
        <v>0.26977588424437299</v>
      </c>
      <c r="L26" s="260" t="s">
        <v>45</v>
      </c>
      <c r="M26" s="261">
        <v>1</v>
      </c>
      <c r="N26" s="261">
        <v>0</v>
      </c>
    </row>
    <row r="27" spans="1:14" s="305" customFormat="1" ht="26.5">
      <c r="A27" s="304">
        <v>20</v>
      </c>
      <c r="B27" s="280">
        <v>2026</v>
      </c>
      <c r="C27" s="253" t="s">
        <v>184</v>
      </c>
      <c r="D27" s="254" t="s">
        <v>240</v>
      </c>
      <c r="E27" s="255" t="s">
        <v>4</v>
      </c>
      <c r="F27" s="255" t="s">
        <v>4</v>
      </c>
      <c r="G27" s="256">
        <v>3900000</v>
      </c>
      <c r="H27" s="257"/>
      <c r="I27" s="257"/>
      <c r="J27" s="258"/>
      <c r="K27" s="259"/>
      <c r="L27" s="260" t="s">
        <v>45</v>
      </c>
      <c r="M27" s="261"/>
      <c r="N27" s="261"/>
    </row>
    <row r="28" spans="1:14" s="305" customFormat="1">
      <c r="A28" s="312">
        <v>21</v>
      </c>
      <c r="B28" s="280">
        <v>2026</v>
      </c>
      <c r="C28" s="253" t="s">
        <v>260</v>
      </c>
      <c r="D28" s="254" t="s">
        <v>258</v>
      </c>
      <c r="E28" s="255" t="s">
        <v>321</v>
      </c>
      <c r="F28" s="255" t="s">
        <v>321</v>
      </c>
      <c r="G28" s="256"/>
      <c r="H28" s="257">
        <v>2380000</v>
      </c>
      <c r="I28" s="257">
        <v>1438000</v>
      </c>
      <c r="J28" s="258">
        <v>818364</v>
      </c>
      <c r="K28" s="259">
        <f>J28/H28</f>
        <v>0.34385042016806722</v>
      </c>
      <c r="L28" s="260" t="s">
        <v>45</v>
      </c>
      <c r="M28" s="261">
        <v>0</v>
      </c>
      <c r="N28" s="261">
        <v>0</v>
      </c>
    </row>
    <row r="29" spans="1:14" ht="39.75">
      <c r="A29" s="304">
        <v>22</v>
      </c>
      <c r="B29" s="270">
        <v>2026</v>
      </c>
      <c r="C29" s="271" t="s">
        <v>174</v>
      </c>
      <c r="D29" s="281" t="s">
        <v>329</v>
      </c>
      <c r="E29" s="273" t="s">
        <v>310</v>
      </c>
      <c r="F29" s="273" t="s">
        <v>319</v>
      </c>
      <c r="G29" s="274">
        <v>430000</v>
      </c>
      <c r="H29" s="248">
        <v>870000</v>
      </c>
      <c r="I29" s="248">
        <v>495900</v>
      </c>
      <c r="J29" s="249">
        <v>323031</v>
      </c>
      <c r="K29" s="250">
        <f>J29/H29</f>
        <v>0.37130000000000002</v>
      </c>
      <c r="L29" s="275" t="s">
        <v>45</v>
      </c>
      <c r="M29" s="276">
        <v>1</v>
      </c>
      <c r="N29" s="276">
        <v>0</v>
      </c>
    </row>
    <row r="30" spans="1:14" ht="26.5">
      <c r="A30" s="312">
        <v>23</v>
      </c>
      <c r="B30" s="270">
        <v>2026</v>
      </c>
      <c r="C30" s="271" t="s">
        <v>262</v>
      </c>
      <c r="D30" s="281" t="s">
        <v>328</v>
      </c>
      <c r="E30" s="273" t="s">
        <v>361</v>
      </c>
      <c r="F30" s="273" t="s">
        <v>319</v>
      </c>
      <c r="G30" s="274"/>
      <c r="H30" s="248">
        <v>1851441.2</v>
      </c>
      <c r="I30" s="248">
        <v>907658.23999999999</v>
      </c>
      <c r="J30" s="249">
        <v>665770.8585519999</v>
      </c>
      <c r="K30" s="250"/>
      <c r="L30" s="275" t="s">
        <v>45</v>
      </c>
      <c r="M30" s="276">
        <v>0.9</v>
      </c>
      <c r="N30" s="276">
        <v>0</v>
      </c>
    </row>
    <row r="31" spans="1:14" ht="26.5">
      <c r="A31" s="304">
        <v>24</v>
      </c>
      <c r="B31" s="270">
        <v>2026</v>
      </c>
      <c r="C31" s="271" t="s">
        <v>175</v>
      </c>
      <c r="D31" s="281" t="s">
        <v>342</v>
      </c>
      <c r="E31" s="273" t="s">
        <v>361</v>
      </c>
      <c r="F31" s="273" t="s">
        <v>319</v>
      </c>
      <c r="G31" s="274">
        <v>2000000</v>
      </c>
      <c r="H31" s="248">
        <v>4946885.99</v>
      </c>
      <c r="I31" s="248">
        <v>2356223.9</v>
      </c>
      <c r="J31" s="249">
        <v>1825100.74</v>
      </c>
      <c r="K31" s="250">
        <f>J31/H31</f>
        <v>0.36893931731788304</v>
      </c>
      <c r="L31" s="275" t="s">
        <v>45</v>
      </c>
      <c r="M31" s="276">
        <v>0.9</v>
      </c>
      <c r="N31" s="276">
        <v>0</v>
      </c>
    </row>
    <row r="32" spans="1:14" s="305" customFormat="1">
      <c r="A32" s="312">
        <v>25</v>
      </c>
      <c r="B32" s="280">
        <v>2026</v>
      </c>
      <c r="C32" s="253" t="s">
        <v>247</v>
      </c>
      <c r="D32" s="254" t="s">
        <v>245</v>
      </c>
      <c r="E32" s="255" t="s">
        <v>321</v>
      </c>
      <c r="F32" s="255" t="s">
        <v>321</v>
      </c>
      <c r="G32" s="256"/>
      <c r="H32" s="257">
        <v>2580000</v>
      </c>
      <c r="I32" s="257">
        <v>1720000</v>
      </c>
      <c r="J32" s="258">
        <v>735644</v>
      </c>
      <c r="K32" s="259">
        <f>J32/H32</f>
        <v>0.28513333333333335</v>
      </c>
      <c r="L32" s="260" t="s">
        <v>45</v>
      </c>
      <c r="M32" s="261">
        <v>0</v>
      </c>
      <c r="N32" s="261">
        <v>0</v>
      </c>
    </row>
    <row r="33" spans="1:14" ht="39.75">
      <c r="A33" s="304">
        <v>26</v>
      </c>
      <c r="B33" s="270">
        <v>2026</v>
      </c>
      <c r="C33" s="271" t="s">
        <v>270</v>
      </c>
      <c r="D33" s="281" t="s">
        <v>278</v>
      </c>
      <c r="E33" s="273" t="s">
        <v>317</v>
      </c>
      <c r="F33" s="273" t="s">
        <v>317</v>
      </c>
      <c r="G33" s="274"/>
      <c r="H33" s="248">
        <v>2334999.96</v>
      </c>
      <c r="I33" s="248">
        <v>1275450.1599999999</v>
      </c>
      <c r="J33" s="249">
        <v>618874.31999999995</v>
      </c>
      <c r="K33" s="250">
        <f>J33/H33</f>
        <v>0.26504253987224907</v>
      </c>
      <c r="L33" s="275" t="s">
        <v>45</v>
      </c>
      <c r="M33" s="276">
        <v>1</v>
      </c>
      <c r="N33" s="276">
        <v>1</v>
      </c>
    </row>
    <row r="34" spans="1:14" ht="26.5">
      <c r="A34" s="312">
        <v>27</v>
      </c>
      <c r="B34" s="270">
        <v>2026</v>
      </c>
      <c r="C34" s="271" t="s">
        <v>270</v>
      </c>
      <c r="D34" s="281" t="s">
        <v>279</v>
      </c>
      <c r="E34" s="273" t="s">
        <v>308</v>
      </c>
      <c r="F34" s="273" t="s">
        <v>319</v>
      </c>
      <c r="G34" s="274"/>
      <c r="H34" s="248">
        <v>1997520</v>
      </c>
      <c r="I34" s="248">
        <v>991800</v>
      </c>
      <c r="J34" s="249">
        <v>736567.08</v>
      </c>
      <c r="K34" s="250">
        <f>J34/H34</f>
        <v>0.36874077856542109</v>
      </c>
      <c r="L34" s="275" t="s">
        <v>45</v>
      </c>
      <c r="M34" s="276">
        <v>1</v>
      </c>
      <c r="N34" s="276">
        <v>0</v>
      </c>
    </row>
    <row r="35" spans="1:14" ht="26.5">
      <c r="A35" s="304">
        <v>28</v>
      </c>
      <c r="B35" s="270">
        <v>2026</v>
      </c>
      <c r="C35" s="271" t="s">
        <v>270</v>
      </c>
      <c r="D35" s="281" t="s">
        <v>271</v>
      </c>
      <c r="E35" s="273" t="s">
        <v>362</v>
      </c>
      <c r="F35" s="273" t="s">
        <v>4</v>
      </c>
      <c r="G35" s="274"/>
      <c r="H35" s="248">
        <v>1320000</v>
      </c>
      <c r="I35" s="248">
        <v>784900</v>
      </c>
      <c r="J35" s="249">
        <v>459566</v>
      </c>
      <c r="K35" s="250">
        <f>J35/H35</f>
        <v>0.34815606060606058</v>
      </c>
      <c r="L35" s="275" t="s">
        <v>45</v>
      </c>
      <c r="M35" s="276">
        <v>1</v>
      </c>
      <c r="N35" s="276">
        <v>0</v>
      </c>
    </row>
    <row r="36" spans="1:14" s="305" customFormat="1">
      <c r="A36" s="312">
        <v>29</v>
      </c>
      <c r="B36" s="280">
        <v>2026</v>
      </c>
      <c r="C36" s="253" t="s">
        <v>186</v>
      </c>
      <c r="D36" s="254" t="s">
        <v>339</v>
      </c>
      <c r="E36" s="255" t="s">
        <v>4</v>
      </c>
      <c r="F36" s="255" t="s">
        <v>4</v>
      </c>
      <c r="G36" s="256">
        <v>300000</v>
      </c>
      <c r="H36" s="257"/>
      <c r="I36" s="257"/>
      <c r="J36" s="258"/>
      <c r="K36" s="259"/>
      <c r="L36" s="260" t="s">
        <v>45</v>
      </c>
      <c r="M36" s="261"/>
      <c r="N36" s="261"/>
    </row>
    <row r="37" spans="1:14" s="305" customFormat="1">
      <c r="A37" s="304">
        <v>30</v>
      </c>
      <c r="B37" s="280">
        <v>2026</v>
      </c>
      <c r="C37" s="253" t="s">
        <v>280</v>
      </c>
      <c r="D37" s="254" t="s">
        <v>281</v>
      </c>
      <c r="E37" s="255" t="s">
        <v>321</v>
      </c>
      <c r="F37" s="255" t="s">
        <v>321</v>
      </c>
      <c r="G37" s="256"/>
      <c r="H37" s="257">
        <v>1900000</v>
      </c>
      <c r="I37" s="257">
        <v>1275450.1599999999</v>
      </c>
      <c r="J37" s="258">
        <v>542426.85</v>
      </c>
      <c r="K37" s="259">
        <f>J37/H37</f>
        <v>0.28548781578947369</v>
      </c>
      <c r="L37" s="260" t="s">
        <v>45</v>
      </c>
      <c r="M37" s="261"/>
      <c r="N37" s="261"/>
    </row>
    <row r="38" spans="1:14">
      <c r="A38" s="312">
        <v>31</v>
      </c>
      <c r="B38" s="270">
        <v>2026</v>
      </c>
      <c r="C38" s="271" t="s">
        <v>187</v>
      </c>
      <c r="D38" s="281" t="s">
        <v>363</v>
      </c>
      <c r="E38" s="273" t="s">
        <v>364</v>
      </c>
      <c r="F38" s="273" t="s">
        <v>319</v>
      </c>
      <c r="G38" s="274">
        <v>300000</v>
      </c>
      <c r="H38" s="248">
        <v>235631.28</v>
      </c>
      <c r="I38" s="248">
        <v>116010.44</v>
      </c>
      <c r="J38" s="249">
        <v>84268.1</v>
      </c>
      <c r="K38" s="250">
        <f>J38/H38</f>
        <v>0.35762696701388713</v>
      </c>
      <c r="L38" s="275" t="s">
        <v>45</v>
      </c>
      <c r="M38" s="276">
        <v>1</v>
      </c>
      <c r="N38" s="276">
        <v>0</v>
      </c>
    </row>
    <row r="39" spans="1:14" s="305" customFormat="1">
      <c r="A39" s="304">
        <v>32</v>
      </c>
      <c r="B39" s="280">
        <v>2026</v>
      </c>
      <c r="C39" s="253" t="s">
        <v>246</v>
      </c>
      <c r="D39" s="254" t="s">
        <v>245</v>
      </c>
      <c r="E39" s="255" t="s">
        <v>321</v>
      </c>
      <c r="F39" s="255" t="s">
        <v>321</v>
      </c>
      <c r="G39" s="256"/>
      <c r="H39" s="257">
        <v>2580000</v>
      </c>
      <c r="I39" s="257">
        <v>1720000</v>
      </c>
      <c r="J39" s="258">
        <v>735644</v>
      </c>
      <c r="K39" s="259">
        <f>J39/H39</f>
        <v>0.28513333333333335</v>
      </c>
      <c r="L39" s="260" t="s">
        <v>45</v>
      </c>
      <c r="M39" s="261"/>
      <c r="N39" s="261"/>
    </row>
    <row r="40" spans="1:14">
      <c r="A40" s="312">
        <v>33</v>
      </c>
      <c r="B40" s="280">
        <v>2026</v>
      </c>
      <c r="C40" s="253" t="s">
        <v>188</v>
      </c>
      <c r="D40" s="254" t="s">
        <v>340</v>
      </c>
      <c r="E40" s="255" t="s">
        <v>4</v>
      </c>
      <c r="F40" s="255" t="s">
        <v>4</v>
      </c>
      <c r="G40" s="256">
        <v>200000</v>
      </c>
      <c r="H40" s="257"/>
      <c r="I40" s="257"/>
      <c r="J40" s="258"/>
      <c r="K40" s="259"/>
      <c r="L40" s="260" t="s">
        <v>45</v>
      </c>
      <c r="M40" s="261"/>
      <c r="N40" s="261"/>
    </row>
    <row r="41" spans="1:14">
      <c r="A41" s="304">
        <v>34</v>
      </c>
      <c r="B41" s="270">
        <v>2026</v>
      </c>
      <c r="C41" s="271" t="s">
        <v>177</v>
      </c>
      <c r="D41" s="281" t="s">
        <v>363</v>
      </c>
      <c r="E41" s="273" t="s">
        <v>378</v>
      </c>
      <c r="F41" s="273" t="s">
        <v>345</v>
      </c>
      <c r="G41" s="274"/>
      <c r="H41" s="248">
        <f>2500000+1908000</f>
        <v>4408000</v>
      </c>
      <c r="I41" s="248">
        <f>1762988+1345512</f>
        <v>3108500</v>
      </c>
      <c r="J41" s="249">
        <f>483900.72+634041.28</f>
        <v>1117942</v>
      </c>
      <c r="K41" s="250">
        <f t="shared" ref="K41:K46" si="1">J41/H41</f>
        <v>0.25361660617059889</v>
      </c>
      <c r="L41" s="275" t="s">
        <v>45</v>
      </c>
      <c r="M41" s="276">
        <v>1</v>
      </c>
      <c r="N41" s="276">
        <f>2500000/H41</f>
        <v>0.56715063520871145</v>
      </c>
    </row>
    <row r="42" spans="1:14" s="305" customFormat="1">
      <c r="A42" s="312">
        <v>35</v>
      </c>
      <c r="B42" s="270">
        <v>2026</v>
      </c>
      <c r="C42" s="271" t="s">
        <v>177</v>
      </c>
      <c r="D42" s="281" t="s">
        <v>238</v>
      </c>
      <c r="E42" s="273" t="s">
        <v>4</v>
      </c>
      <c r="F42" s="273" t="s">
        <v>4</v>
      </c>
      <c r="G42" s="274"/>
      <c r="H42" s="248">
        <v>4502880</v>
      </c>
      <c r="I42" s="248">
        <v>2294000</v>
      </c>
      <c r="J42" s="249">
        <v>1345933.48</v>
      </c>
      <c r="K42" s="250">
        <f t="shared" si="1"/>
        <v>0.29890502966990012</v>
      </c>
      <c r="L42" s="275" t="s">
        <v>45</v>
      </c>
      <c r="M42" s="276"/>
      <c r="N42" s="276"/>
    </row>
    <row r="43" spans="1:14" ht="39.75">
      <c r="A43" s="304">
        <v>36</v>
      </c>
      <c r="B43" s="270">
        <v>2026</v>
      </c>
      <c r="C43" s="271" t="s">
        <v>177</v>
      </c>
      <c r="D43" s="281" t="s">
        <v>282</v>
      </c>
      <c r="E43" s="273" t="s">
        <v>365</v>
      </c>
      <c r="F43" s="273" t="s">
        <v>365</v>
      </c>
      <c r="G43" s="274"/>
      <c r="H43" s="248">
        <v>1914406.01</v>
      </c>
      <c r="I43" s="248">
        <v>1007425.07</v>
      </c>
      <c r="J43" s="249">
        <v>652440.64</v>
      </c>
      <c r="K43" s="250">
        <f t="shared" si="1"/>
        <v>0.34080578340850487</v>
      </c>
      <c r="L43" s="275" t="s">
        <v>45</v>
      </c>
      <c r="M43" s="276">
        <v>1</v>
      </c>
      <c r="N43" s="276">
        <v>0</v>
      </c>
    </row>
    <row r="44" spans="1:14" ht="39.75">
      <c r="A44" s="312">
        <v>37</v>
      </c>
      <c r="B44" s="270">
        <v>2026</v>
      </c>
      <c r="C44" s="271" t="s">
        <v>177</v>
      </c>
      <c r="D44" s="281" t="s">
        <v>237</v>
      </c>
      <c r="E44" s="273" t="s">
        <v>367</v>
      </c>
      <c r="F44" s="273" t="s">
        <v>366</v>
      </c>
      <c r="G44" s="274">
        <v>400000</v>
      </c>
      <c r="H44" s="248">
        <v>3600000</v>
      </c>
      <c r="I44" s="248">
        <v>1600000</v>
      </c>
      <c r="J44" s="249">
        <v>1296042.76</v>
      </c>
      <c r="K44" s="250">
        <f t="shared" si="1"/>
        <v>0.36001187777777777</v>
      </c>
      <c r="L44" s="275" t="s">
        <v>45</v>
      </c>
      <c r="M44" s="276">
        <v>1</v>
      </c>
      <c r="N44" s="276">
        <v>0</v>
      </c>
    </row>
    <row r="45" spans="1:14">
      <c r="A45" s="304">
        <v>38</v>
      </c>
      <c r="B45" s="270">
        <v>2026</v>
      </c>
      <c r="C45" s="271" t="s">
        <v>177</v>
      </c>
      <c r="D45" s="281" t="s">
        <v>244</v>
      </c>
      <c r="E45" s="273" t="s">
        <v>368</v>
      </c>
      <c r="F45" s="273" t="s">
        <v>366</v>
      </c>
      <c r="G45" s="274"/>
      <c r="H45" s="248">
        <v>4408000</v>
      </c>
      <c r="I45" s="248">
        <v>3108500</v>
      </c>
      <c r="J45" s="249">
        <v>1117942</v>
      </c>
      <c r="K45" s="250">
        <f t="shared" si="1"/>
        <v>0.25361660617059889</v>
      </c>
      <c r="L45" s="275" t="s">
        <v>45</v>
      </c>
      <c r="M45" s="276">
        <v>1</v>
      </c>
      <c r="N45" s="276">
        <v>0</v>
      </c>
    </row>
    <row r="46" spans="1:14" ht="26.5">
      <c r="A46" s="312">
        <v>39</v>
      </c>
      <c r="B46" s="270">
        <v>2026</v>
      </c>
      <c r="C46" s="271" t="s">
        <v>259</v>
      </c>
      <c r="D46" s="281" t="s">
        <v>283</v>
      </c>
      <c r="E46" s="273" t="s">
        <v>369</v>
      </c>
      <c r="F46" s="273" t="s">
        <v>4</v>
      </c>
      <c r="G46" s="274"/>
      <c r="H46" s="248">
        <v>2380000</v>
      </c>
      <c r="I46" s="248">
        <v>1438000</v>
      </c>
      <c r="J46" s="249">
        <v>818364</v>
      </c>
      <c r="K46" s="250">
        <f t="shared" si="1"/>
        <v>0.34385042016806722</v>
      </c>
      <c r="L46" s="275" t="s">
        <v>45</v>
      </c>
      <c r="M46" s="276">
        <v>1</v>
      </c>
      <c r="N46" s="276">
        <v>0</v>
      </c>
    </row>
    <row r="47" spans="1:14" ht="17.850000000000001">
      <c r="D47" s="451" t="s">
        <v>21</v>
      </c>
      <c r="E47" s="451"/>
      <c r="F47" s="282" t="s">
        <v>91</v>
      </c>
      <c r="G47" s="282">
        <f>SUM(G8:G46)</f>
        <v>13790000</v>
      </c>
      <c r="H47" s="282">
        <f>SUM(H8:H46)</f>
        <v>71917217.49000001</v>
      </c>
      <c r="I47" s="282">
        <f>SUM(I8:I46)</f>
        <v>43120316.969999999</v>
      </c>
      <c r="J47" s="282">
        <f>SUM(J8:J46)</f>
        <v>21850931.188552</v>
      </c>
      <c r="K47" s="283">
        <f>J47/G47</f>
        <v>1.5845490347028282</v>
      </c>
    </row>
    <row r="48" spans="1:14">
      <c r="G48" s="234"/>
    </row>
    <row r="49" spans="6:9">
      <c r="F49" s="322" t="s">
        <v>21</v>
      </c>
      <c r="G49" s="322"/>
      <c r="H49" s="322"/>
      <c r="I49" s="311">
        <f>J47/H47</f>
        <v>0.30383449125503698</v>
      </c>
    </row>
    <row r="50" spans="6:9">
      <c r="F50" s="285"/>
      <c r="G50" s="286"/>
    </row>
  </sheetData>
  <autoFilter ref="A7:N47" xr:uid="{9FAF7E92-F062-49F4-BC9C-546B295B03EB}"/>
  <mergeCells count="18">
    <mergeCell ref="F49:H49"/>
    <mergeCell ref="D47:E47"/>
    <mergeCell ref="I4:I5"/>
    <mergeCell ref="J4:J5"/>
    <mergeCell ref="A1:M2"/>
    <mergeCell ref="N1:N2"/>
    <mergeCell ref="A4:A5"/>
    <mergeCell ref="B4:B5"/>
    <mergeCell ref="C4:C5"/>
    <mergeCell ref="D4:D5"/>
    <mergeCell ref="E4:E5"/>
    <mergeCell ref="F4:F5"/>
    <mergeCell ref="G4:G5"/>
    <mergeCell ref="H4:H5"/>
    <mergeCell ref="K4:L4"/>
    <mergeCell ref="M4:N4"/>
    <mergeCell ref="K5:L5"/>
    <mergeCell ref="M5:N5"/>
  </mergeCells>
  <pageMargins left="0.23622047244094491" right="0.23622047244094491" top="0.74803149606299213" bottom="0.74803149606299213" header="0.31496062992125984" footer="0.31496062992125984"/>
  <pageSetup scale="55" fitToHeight="0" orientation="landscape" horizontalDpi="360" verticalDpi="360" r:id="rId1"/>
  <headerFooter>
    <oddFooter>&amp;L&amp;B Confidencial&amp;B&amp;C&amp;D&amp;RPágina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1001"/>
  <sheetViews>
    <sheetView topLeftCell="A4" zoomScale="80" zoomScaleNormal="80" workbookViewId="0">
      <selection activeCell="H13" sqref="H13"/>
    </sheetView>
  </sheetViews>
  <sheetFormatPr baseColWidth="10" defaultColWidth="14.3984375" defaultRowHeight="15" customHeight="1"/>
  <cols>
    <col min="1" max="2" width="11.296875" style="63" customWidth="1"/>
    <col min="3" max="3" width="24.296875" customWidth="1"/>
    <col min="4" max="5" width="20.296875" customWidth="1"/>
    <col min="6" max="6" width="17.296875" style="74" customWidth="1"/>
    <col min="7" max="7" width="19" style="74" customWidth="1"/>
    <col min="8" max="8" width="16.69921875" style="74" customWidth="1"/>
    <col min="9" max="9" width="19.3984375" style="74" customWidth="1"/>
    <col min="10" max="10" width="6.69921875" customWidth="1"/>
    <col min="11" max="11" width="37" customWidth="1"/>
    <col min="12" max="12" width="14.59765625" customWidth="1"/>
    <col min="13" max="13" width="17.69921875" customWidth="1"/>
    <col min="14" max="29" width="10.69921875" customWidth="1"/>
  </cols>
  <sheetData>
    <row r="1" spans="1:13" ht="14.25" customHeight="1">
      <c r="A1" s="333" t="s">
        <v>205</v>
      </c>
      <c r="B1" s="334"/>
      <c r="C1" s="335"/>
      <c r="D1" s="335"/>
      <c r="E1" s="335"/>
      <c r="F1" s="335"/>
      <c r="G1" s="335"/>
      <c r="H1" s="335"/>
      <c r="I1" s="335"/>
      <c r="J1" s="336"/>
      <c r="K1" s="337"/>
      <c r="L1" s="341"/>
      <c r="M1" s="341">
        <f ca="1">TODAY()</f>
        <v>46205</v>
      </c>
    </row>
    <row r="2" spans="1:13" ht="14.25" customHeight="1">
      <c r="A2" s="338"/>
      <c r="B2" s="336"/>
      <c r="C2" s="339"/>
      <c r="D2" s="339"/>
      <c r="E2" s="339"/>
      <c r="F2" s="339"/>
      <c r="G2" s="339"/>
      <c r="H2" s="339"/>
      <c r="I2" s="339"/>
      <c r="J2" s="336"/>
      <c r="K2" s="340"/>
      <c r="L2" s="342"/>
      <c r="M2" s="342"/>
    </row>
    <row r="3" spans="1:13" ht="14.25" customHeight="1" thickBot="1">
      <c r="A3" s="1"/>
      <c r="B3" s="27"/>
      <c r="C3" s="1"/>
      <c r="D3" s="1"/>
      <c r="E3" s="1"/>
      <c r="F3" s="70"/>
      <c r="G3" s="70"/>
      <c r="H3" s="70"/>
      <c r="I3" s="70"/>
      <c r="J3" s="28"/>
      <c r="K3" s="2"/>
      <c r="L3" s="27"/>
      <c r="M3" s="3"/>
    </row>
    <row r="4" spans="1:13" ht="21.05" customHeight="1" thickTop="1" thickBot="1">
      <c r="A4" s="455" t="s">
        <v>0</v>
      </c>
      <c r="B4" s="460"/>
      <c r="C4" s="456">
        <v>1</v>
      </c>
      <c r="D4" s="457" t="s">
        <v>2</v>
      </c>
      <c r="E4" s="458">
        <v>2000000</v>
      </c>
      <c r="F4" s="459" t="s">
        <v>3</v>
      </c>
      <c r="G4" s="459">
        <f>H8*M8+H9*M9+H11*M11+H10*M10</f>
        <v>411623.55908045976</v>
      </c>
      <c r="H4" s="454" t="s">
        <v>4</v>
      </c>
      <c r="I4" s="454">
        <f>E4-G4</f>
        <v>1588376.4409195404</v>
      </c>
      <c r="J4" s="351"/>
      <c r="K4" s="33" t="s">
        <v>5</v>
      </c>
      <c r="L4" s="349">
        <f>G4/E4</f>
        <v>0.20581177954022989</v>
      </c>
      <c r="M4" s="350"/>
    </row>
    <row r="5" spans="1:13" ht="29.25" customHeight="1" thickTop="1" thickBot="1">
      <c r="A5" s="344"/>
      <c r="B5" s="461"/>
      <c r="C5" s="346"/>
      <c r="D5" s="346"/>
      <c r="E5" s="346"/>
      <c r="F5" s="327"/>
      <c r="G5" s="327"/>
      <c r="H5" s="327"/>
      <c r="I5" s="327"/>
      <c r="J5" s="352"/>
      <c r="K5" s="33" t="s">
        <v>6</v>
      </c>
      <c r="L5" s="377">
        <f>AVERAGE(M8:M11)</f>
        <v>0.42440229885057468</v>
      </c>
      <c r="M5" s="378"/>
    </row>
    <row r="6" spans="1:13" ht="14.25" customHeight="1">
      <c r="A6" s="4"/>
      <c r="B6" s="5"/>
      <c r="C6" s="4"/>
      <c r="D6" s="4"/>
      <c r="E6" s="4"/>
      <c r="F6" s="71"/>
      <c r="G6" s="71"/>
      <c r="H6" s="71"/>
      <c r="I6" s="71"/>
      <c r="J6" s="29"/>
      <c r="K6" s="5"/>
      <c r="L6" s="27"/>
    </row>
    <row r="7" spans="1:13" ht="25.35">
      <c r="A7" s="7" t="s">
        <v>7</v>
      </c>
      <c r="B7" s="7" t="s">
        <v>228</v>
      </c>
      <c r="C7" s="7" t="s">
        <v>8</v>
      </c>
      <c r="D7" s="380" t="s">
        <v>9</v>
      </c>
      <c r="E7" s="381"/>
      <c r="F7" s="72" t="s">
        <v>11</v>
      </c>
      <c r="G7" s="72" t="s">
        <v>12</v>
      </c>
      <c r="H7" s="72" t="s">
        <v>13</v>
      </c>
      <c r="I7" s="72" t="s">
        <v>14</v>
      </c>
      <c r="J7" s="7" t="s">
        <v>92</v>
      </c>
      <c r="K7" s="7" t="s">
        <v>15</v>
      </c>
      <c r="L7" s="7" t="s">
        <v>93</v>
      </c>
      <c r="M7" s="7" t="s">
        <v>16</v>
      </c>
    </row>
    <row r="8" spans="1:13" ht="24.05" customHeight="1">
      <c r="A8" s="22">
        <v>1</v>
      </c>
      <c r="B8" s="40">
        <v>2025</v>
      </c>
      <c r="C8" s="54" t="s">
        <v>68</v>
      </c>
      <c r="D8" s="462" t="s">
        <v>18</v>
      </c>
      <c r="E8" s="462"/>
      <c r="F8" s="119">
        <f>1075320/1.16</f>
        <v>927000.00000000012</v>
      </c>
      <c r="G8" s="84">
        <v>522000</v>
      </c>
      <c r="H8" s="84">
        <v>338256</v>
      </c>
      <c r="I8" s="85">
        <f>H8</f>
        <v>338256</v>
      </c>
      <c r="J8" s="35">
        <f>H8/F8</f>
        <v>0.36489320388349511</v>
      </c>
      <c r="K8" s="22" t="s">
        <v>22</v>
      </c>
      <c r="L8" s="35">
        <v>1</v>
      </c>
      <c r="M8" s="35">
        <v>1</v>
      </c>
    </row>
    <row r="9" spans="1:13" ht="57.05" customHeight="1">
      <c r="A9" s="111">
        <v>2</v>
      </c>
      <c r="B9" s="224">
        <v>2025</v>
      </c>
      <c r="C9" s="112" t="s">
        <v>51</v>
      </c>
      <c r="D9" s="463" t="s">
        <v>288</v>
      </c>
      <c r="E9" s="464"/>
      <c r="F9" s="120">
        <f>522000</f>
        <v>522000</v>
      </c>
      <c r="G9" s="121">
        <v>364000</v>
      </c>
      <c r="H9" s="121">
        <v>105170</v>
      </c>
      <c r="I9" s="122">
        <f>H9</f>
        <v>105170</v>
      </c>
      <c r="J9" s="113">
        <f>H9/F9</f>
        <v>0.20147509578544062</v>
      </c>
      <c r="K9" s="111" t="s">
        <v>22</v>
      </c>
      <c r="L9" s="113">
        <v>1</v>
      </c>
      <c r="M9" s="113">
        <f>(147000+108576*2)/F9</f>
        <v>0.69760919540229882</v>
      </c>
    </row>
    <row r="10" spans="1:13" ht="56.3" customHeight="1">
      <c r="A10" s="104">
        <v>3</v>
      </c>
      <c r="B10" s="40">
        <v>2025</v>
      </c>
      <c r="C10" s="114" t="s">
        <v>51</v>
      </c>
      <c r="D10" s="332" t="s">
        <v>289</v>
      </c>
      <c r="E10" s="332"/>
      <c r="F10" s="115">
        <f>547500</f>
        <v>547500</v>
      </c>
      <c r="G10" s="115">
        <v>348000</v>
      </c>
      <c r="H10" s="115">
        <v>128508.5</v>
      </c>
      <c r="I10" s="116">
        <f>H10</f>
        <v>128508.5</v>
      </c>
      <c r="J10" s="117">
        <f>I10/F10</f>
        <v>0.23471872146118722</v>
      </c>
      <c r="K10" s="118" t="s">
        <v>22</v>
      </c>
      <c r="L10" s="117">
        <v>1</v>
      </c>
      <c r="M10" s="117">
        <v>0</v>
      </c>
    </row>
    <row r="11" spans="1:13" ht="69" customHeight="1">
      <c r="A11" s="207">
        <v>4</v>
      </c>
      <c r="B11" s="225">
        <v>2026</v>
      </c>
      <c r="C11" s="303" t="s">
        <v>346</v>
      </c>
      <c r="D11" s="421" t="s">
        <v>347</v>
      </c>
      <c r="E11" s="421"/>
      <c r="F11" s="208">
        <v>1115591.3999999999</v>
      </c>
      <c r="G11" s="208">
        <v>676116</v>
      </c>
      <c r="H11" s="208">
        <v>378117.87</v>
      </c>
      <c r="I11" s="209">
        <f>H11</f>
        <v>378117.87</v>
      </c>
      <c r="J11" s="210">
        <f>I11/F11</f>
        <v>0.33893939125023737</v>
      </c>
      <c r="K11" s="207" t="s">
        <v>22</v>
      </c>
      <c r="L11" s="210">
        <v>0.5</v>
      </c>
      <c r="M11" s="210">
        <v>0</v>
      </c>
    </row>
    <row r="12" spans="1:13" ht="14.25" customHeight="1">
      <c r="A12" s="206"/>
      <c r="B12" s="206"/>
      <c r="C12" s="198"/>
      <c r="D12" s="198"/>
      <c r="E12" s="199" t="s">
        <v>20</v>
      </c>
      <c r="F12" s="180">
        <f>SUM(F8:F11)</f>
        <v>3112091.4</v>
      </c>
      <c r="G12" s="180">
        <f t="shared" ref="G12:I12" si="0">SUM(G8:G11)</f>
        <v>1910116</v>
      </c>
      <c r="H12" s="180">
        <f>SUM(H8:H11)</f>
        <v>950052.37</v>
      </c>
      <c r="I12" s="180">
        <f t="shared" si="0"/>
        <v>950052.37</v>
      </c>
      <c r="J12" s="198"/>
      <c r="K12" s="198"/>
      <c r="L12" s="198"/>
      <c r="M12" s="198"/>
    </row>
    <row r="13" spans="1:13" ht="14.25" customHeight="1"/>
    <row r="14" spans="1:13" ht="14.25" customHeight="1">
      <c r="E14" s="322" t="s">
        <v>21</v>
      </c>
      <c r="F14" s="322"/>
      <c r="G14" s="322"/>
      <c r="H14" s="46">
        <f>H12/F12</f>
        <v>0.30527778522186078</v>
      </c>
    </row>
    <row r="15" spans="1:13" ht="14.25" customHeight="1"/>
    <row r="16" spans="1:13" ht="14.25" customHeight="1"/>
    <row r="17" spans="10:10" ht="14.25" customHeight="1">
      <c r="J17" s="65"/>
    </row>
    <row r="18" spans="10:10" ht="14.25" customHeight="1">
      <c r="J18" s="65"/>
    </row>
    <row r="19" spans="10:10" ht="14.25" customHeight="1"/>
    <row r="20" spans="10:10" ht="14.25" customHeight="1"/>
    <row r="21" spans="10:10" ht="14.25" customHeight="1"/>
    <row r="22" spans="10:10" ht="14.25" customHeight="1"/>
    <row r="23" spans="10:10" ht="14.25" customHeight="1"/>
    <row r="24" spans="10:10" ht="14.25" customHeight="1"/>
    <row r="25" spans="10:10" ht="14.25" customHeight="1"/>
    <row r="26" spans="10:10" ht="14.25" customHeight="1"/>
    <row r="27" spans="10:10" ht="14.25" customHeight="1"/>
    <row r="28" spans="10:10" ht="14.25" customHeight="1"/>
    <row r="29" spans="10:10" ht="14.25" customHeight="1"/>
    <row r="30" spans="10:10" ht="14.25" customHeight="1"/>
    <row r="31" spans="10:10" ht="14.25" customHeight="1"/>
    <row r="32" spans="10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1">
    <mergeCell ref="D8:E8"/>
    <mergeCell ref="D9:E9"/>
    <mergeCell ref="D11:E11"/>
    <mergeCell ref="E14:G14"/>
    <mergeCell ref="D7:E7"/>
    <mergeCell ref="D10:E10"/>
    <mergeCell ref="M1:M2"/>
    <mergeCell ref="I4:I5"/>
    <mergeCell ref="L1:L2"/>
    <mergeCell ref="L4:M4"/>
    <mergeCell ref="L5:M5"/>
    <mergeCell ref="J4:J5"/>
    <mergeCell ref="H4:H5"/>
    <mergeCell ref="A1:K2"/>
    <mergeCell ref="A4:A5"/>
    <mergeCell ref="C4:C5"/>
    <mergeCell ref="D4:D5"/>
    <mergeCell ref="E4:E5"/>
    <mergeCell ref="F4:F5"/>
    <mergeCell ref="G4:G5"/>
    <mergeCell ref="B4:B5"/>
  </mergeCells>
  <pageMargins left="0.23622047244094491" right="0.23622047244094491" top="0.74803149606299213" bottom="0.74803149606299213" header="0.31496062992125984" footer="0.31496062992125984"/>
  <pageSetup scale="57" fitToHeight="0" orientation="landscape" horizontalDpi="360" verticalDpi="360" r:id="rId1"/>
  <headerFooter>
    <oddFooter>&amp;L&amp;B Confidencial&amp;B&amp;C&amp;D&amp;RPágina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E7B1A4-6010-4C99-9EC8-0D6480394A51}">
          <x14:formula1>
            <xm:f>Hoja1!$B$3:$B$4</xm:f>
          </x14:formula1>
          <xm:sqref>B8:B11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23"/>
  <sheetViews>
    <sheetView topLeftCell="A11" zoomScale="50" zoomScaleNormal="50" workbookViewId="0">
      <pane xSplit="1" topLeftCell="B1" activePane="topRight" state="frozen"/>
      <selection pane="topRight" activeCell="D15" sqref="D15"/>
    </sheetView>
  </sheetViews>
  <sheetFormatPr baseColWidth="10" defaultColWidth="14.3984375" defaultRowHeight="14.4"/>
  <cols>
    <col min="1" max="1" width="31.59765625" style="63" customWidth="1"/>
    <col min="2" max="2" width="21" style="74" customWidth="1"/>
    <col min="3" max="3" width="20.59765625" style="74" bestFit="1" customWidth="1"/>
    <col min="4" max="4" width="21.8984375" style="74" bestFit="1" customWidth="1"/>
    <col min="5" max="6" width="26.59765625" style="74" customWidth="1"/>
    <col min="7" max="7" width="24.69921875" style="74" customWidth="1"/>
    <col min="8" max="8" width="20.69921875" style="74" customWidth="1"/>
    <col min="9" max="9" width="93.3984375" style="74" customWidth="1"/>
    <col min="10" max="10" width="6.69921875" customWidth="1"/>
    <col min="11" max="11" width="19.59765625" customWidth="1"/>
    <col min="12" max="12" width="10.3984375" customWidth="1"/>
    <col min="13" max="13" width="14.69921875" customWidth="1"/>
    <col min="14" max="25" width="10.69921875" customWidth="1"/>
  </cols>
  <sheetData>
    <row r="1" spans="1:12" ht="61.05">
      <c r="A1" s="465" t="s">
        <v>69</v>
      </c>
      <c r="B1" s="465"/>
      <c r="C1" s="465"/>
      <c r="D1" s="465"/>
      <c r="E1" s="465"/>
      <c r="F1" s="465"/>
      <c r="G1" s="465"/>
      <c r="H1" s="465"/>
      <c r="I1" s="465"/>
    </row>
    <row r="2" spans="1:12" ht="69.150000000000006">
      <c r="A2" s="183" t="s">
        <v>70</v>
      </c>
      <c r="B2" s="184" t="s">
        <v>71</v>
      </c>
      <c r="C2" s="184" t="s">
        <v>3</v>
      </c>
      <c r="D2" s="185" t="s">
        <v>72</v>
      </c>
      <c r="E2" s="185" t="s">
        <v>197</v>
      </c>
      <c r="F2" s="185" t="s">
        <v>73</v>
      </c>
      <c r="G2" s="185" t="s">
        <v>194</v>
      </c>
      <c r="H2" s="185" t="s">
        <v>198</v>
      </c>
      <c r="I2" s="184" t="s">
        <v>99</v>
      </c>
    </row>
    <row r="3" spans="1:12" s="63" customFormat="1" ht="59.2" customHeight="1">
      <c r="A3" s="215" t="s">
        <v>74</v>
      </c>
      <c r="B3" s="216">
        <f>BALANCAN!E4</f>
        <v>1000000</v>
      </c>
      <c r="C3" s="216">
        <f>BALANCAN!G4</f>
        <v>289151.78000000003</v>
      </c>
      <c r="D3" s="216">
        <f>GENERAL!$B3-GENERAL!$C3</f>
        <v>710848.22</v>
      </c>
      <c r="E3" s="123">
        <f>IF(Table_1[[#This Row],[RECUPERADO]]/Table_1[[#This Row],[APORTACIÓN]]&gt;=100%,100%,Table_1[[#This Row],[RECUPERADO]]/Table_1[[#This Row],[APORTACIÓN]])</f>
        <v>0.28915178000000002</v>
      </c>
      <c r="F3" s="216">
        <f>COMALCALCO!I2</f>
        <v>0</v>
      </c>
      <c r="G3" s="216">
        <v>0</v>
      </c>
      <c r="H3" s="123" t="s">
        <v>199</v>
      </c>
      <c r="I3" s="133" t="s">
        <v>294</v>
      </c>
      <c r="K3" s="64"/>
      <c r="L3" s="64"/>
    </row>
    <row r="4" spans="1:12" s="63" customFormat="1" ht="77.2" customHeight="1">
      <c r="A4" s="215" t="s">
        <v>75</v>
      </c>
      <c r="B4" s="216">
        <f>CENTLA!E4</f>
        <v>3000000</v>
      </c>
      <c r="C4" s="216">
        <f>CENTLA!G4</f>
        <v>2942133.0961934049</v>
      </c>
      <c r="D4" s="216">
        <f>GENERAL!$B4-GENERAL!$C4</f>
        <v>57866.903806595132</v>
      </c>
      <c r="E4" s="123">
        <f>IF(Table_1[[#This Row],[RECUPERADO]]/Table_1[[#This Row],[APORTACIÓN]]&gt;=100%,100%,Table_1[[#This Row],[RECUPERADO]]/Table_1[[#This Row],[APORTACIÓN]])</f>
        <v>0.9807110320644683</v>
      </c>
      <c r="F4" s="216">
        <f>CENTLA!I4</f>
        <v>-3000000</v>
      </c>
      <c r="G4" s="216">
        <v>0</v>
      </c>
      <c r="H4" s="123">
        <f>Table_1[[#This Row],[UTILIDAD COBRADA]]/Table_1[[#This Row],[UTILIDAD ESPERADA]]</f>
        <v>0</v>
      </c>
      <c r="I4" s="133" t="s">
        <v>290</v>
      </c>
      <c r="K4" s="64"/>
      <c r="L4" s="64"/>
    </row>
    <row r="5" spans="1:12" s="63" customFormat="1" ht="77.2" customHeight="1">
      <c r="A5" s="217" t="s">
        <v>166</v>
      </c>
      <c r="B5" s="216">
        <f>COMALCALCO!E4</f>
        <v>53000</v>
      </c>
      <c r="C5" s="216">
        <f>COMALCALCO!G4</f>
        <v>169907.38</v>
      </c>
      <c r="D5" s="216">
        <f>COMALCALCO!I8-COMALCALCO!G4</f>
        <v>0</v>
      </c>
      <c r="E5" s="123">
        <f>IF(Table_1[[#This Row],[RECUPERADO]]/Table_1[[#This Row],[APORTACIÓN]]&gt;=100%,100%,Table_1[[#This Row],[RECUPERADO]]/Table_1[[#This Row],[APORTACIÓN]])</f>
        <v>1</v>
      </c>
      <c r="F5" s="216">
        <f>COMALCALCO!I4</f>
        <v>116907.38</v>
      </c>
      <c r="G5" s="216">
        <f>COMALCALCO!I4</f>
        <v>116907.38</v>
      </c>
      <c r="H5" s="123">
        <f>Table_1[[#This Row],[UTILIDAD COBRADA]]/Table_1[[#This Row],[UTILIDAD ESPERADA]]</f>
        <v>1</v>
      </c>
      <c r="I5" s="133" t="s">
        <v>200</v>
      </c>
      <c r="K5" s="64"/>
      <c r="L5" s="64"/>
    </row>
    <row r="6" spans="1:12" s="63" customFormat="1" ht="77.2" customHeight="1">
      <c r="A6" s="217" t="s">
        <v>224</v>
      </c>
      <c r="B6" s="216">
        <f>DURANGO!E4</f>
        <v>5000000</v>
      </c>
      <c r="C6" s="216">
        <f>DURANGO!G4</f>
        <v>0</v>
      </c>
      <c r="D6" s="216">
        <f>GENERAL!$B6-GENERAL!$C6</f>
        <v>5000000</v>
      </c>
      <c r="E6" s="123">
        <f>IF(Table_1[[#This Row],[RECUPERADO]]/Table_1[[#This Row],[APORTACIÓN]]&gt;=100%,100%,Table_1[[#This Row],[RECUPERADO]]/Table_1[[#This Row],[APORTACIÓN]])</f>
        <v>0</v>
      </c>
      <c r="F6" s="216">
        <v>0</v>
      </c>
      <c r="G6" s="216">
        <v>0</v>
      </c>
      <c r="H6" s="219" t="s">
        <v>199</v>
      </c>
      <c r="I6" s="133" t="s">
        <v>291</v>
      </c>
      <c r="K6" s="64"/>
      <c r="L6" s="64"/>
    </row>
    <row r="7" spans="1:12" s="63" customFormat="1" ht="77.2" customHeight="1">
      <c r="A7" s="217" t="s">
        <v>314</v>
      </c>
      <c r="B7" s="216" t="s">
        <v>1</v>
      </c>
      <c r="C7" s="216" t="s">
        <v>1</v>
      </c>
      <c r="D7" s="216"/>
      <c r="E7" s="123" t="s">
        <v>196</v>
      </c>
      <c r="F7" s="216">
        <f>COMALCALCO!I6</f>
        <v>0</v>
      </c>
      <c r="G7" s="216">
        <v>0</v>
      </c>
      <c r="H7" s="123">
        <v>0</v>
      </c>
      <c r="I7" s="306" t="s">
        <v>315</v>
      </c>
      <c r="K7" s="64"/>
      <c r="L7" s="64"/>
    </row>
    <row r="8" spans="1:12" s="63" customFormat="1" ht="80.349999999999994" customHeight="1">
      <c r="A8" s="215" t="s">
        <v>76</v>
      </c>
      <c r="B8" s="216">
        <f>JALAPA!E4</f>
        <v>900000</v>
      </c>
      <c r="C8" s="216">
        <f>JALAPA!G4</f>
        <v>413263.04</v>
      </c>
      <c r="D8" s="216">
        <f>GENERAL!$B8-GENERAL!$C8</f>
        <v>486736.96</v>
      </c>
      <c r="E8" s="123">
        <f>IF(Table_1[[#This Row],[RECUPERADO]]/Table_1[[#This Row],[APORTACIÓN]]&gt;=100%,100%,Table_1[[#This Row],[RECUPERADO]]/Table_1[[#This Row],[APORTACIÓN]])</f>
        <v>0.45918115555555555</v>
      </c>
      <c r="F8" s="216">
        <f>COMALCALCO!I5</f>
        <v>0</v>
      </c>
      <c r="G8" s="216">
        <v>0</v>
      </c>
      <c r="H8" s="123" t="s">
        <v>199</v>
      </c>
      <c r="I8" s="133" t="s">
        <v>295</v>
      </c>
      <c r="K8" s="64"/>
      <c r="L8" s="64"/>
    </row>
    <row r="9" spans="1:12" s="63" customFormat="1" ht="82.95" customHeight="1">
      <c r="A9" s="215" t="s">
        <v>77</v>
      </c>
      <c r="B9" s="216">
        <f>JALPA!E4</f>
        <v>1500000</v>
      </c>
      <c r="C9" s="216">
        <f>JALPA!G4</f>
        <v>1973619.037</v>
      </c>
      <c r="D9" s="216"/>
      <c r="E9" s="123">
        <f>IF(Table_1[[#This Row],[RECUPERADO]]/Table_1[[#This Row],[APORTACIÓN]]&gt;=100%,100%,Table_1[[#This Row],[RECUPERADO]]/Table_1[[#This Row],[APORTACIÓN]])</f>
        <v>1</v>
      </c>
      <c r="F9" s="216">
        <f>JALPA!I4</f>
        <v>2154056.7400000002</v>
      </c>
      <c r="G9" s="216">
        <f>JALPA!G4-JALPA!E4</f>
        <v>473619.03700000001</v>
      </c>
      <c r="H9" s="123">
        <f>Table_1[[#This Row],[UTILIDAD COBRADA]]/Table_1[[#This Row],[UTILIDAD ESPERADA]]</f>
        <v>0.2198730554330709</v>
      </c>
      <c r="I9" s="133" t="s">
        <v>324</v>
      </c>
      <c r="K9" s="64"/>
      <c r="L9" s="64"/>
    </row>
    <row r="10" spans="1:12" s="63" customFormat="1" ht="59.2" customHeight="1">
      <c r="A10" s="215" t="s">
        <v>78</v>
      </c>
      <c r="B10" s="216">
        <f>JONUTA!E4</f>
        <v>1575000</v>
      </c>
      <c r="C10" s="216">
        <f>JONUTA!G4</f>
        <v>1256360.2339999999</v>
      </c>
      <c r="D10" s="216">
        <f>GENERAL!$B10-GENERAL!$C10</f>
        <v>318639.76600000006</v>
      </c>
      <c r="E10" s="123">
        <f>IF(Table_1[[#This Row],[RECUPERADO]]/Table_1[[#This Row],[APORTACIÓN]]&gt;=100%,100%,Table_1[[#This Row],[RECUPERADO]]/Table_1[[#This Row],[APORTACIÓN]])</f>
        <v>0.79768903746031738</v>
      </c>
      <c r="F10" s="216">
        <v>0</v>
      </c>
      <c r="G10" s="216">
        <v>0</v>
      </c>
      <c r="H10" s="123" t="s">
        <v>199</v>
      </c>
      <c r="I10" s="133" t="s">
        <v>293</v>
      </c>
      <c r="K10" s="64"/>
      <c r="L10" s="64"/>
    </row>
    <row r="11" spans="1:12" s="63" customFormat="1" ht="59.2" customHeight="1">
      <c r="A11" s="215" t="s">
        <v>79</v>
      </c>
      <c r="B11" s="216">
        <f>MERIDA!E4</f>
        <v>2000000</v>
      </c>
      <c r="C11" s="216">
        <f>MERIDA!G4</f>
        <v>5032722.115602199</v>
      </c>
      <c r="D11" s="216"/>
      <c r="E11" s="123">
        <f>IF(Table_1[[#This Row],[RECUPERADO]]/Table_1[[#This Row],[APORTACIÓN]]&gt;=100%,100%,Table_1[[#This Row],[RECUPERADO]]/Table_1[[#This Row],[APORTACIÓN]])</f>
        <v>1</v>
      </c>
      <c r="F11" s="216">
        <f>MERIDA!I4</f>
        <v>4560703.5932043996</v>
      </c>
      <c r="G11" s="216">
        <f>MERIDA!G4-MERIDA!E4</f>
        <v>3032722.115602199</v>
      </c>
      <c r="H11" s="123">
        <f>Table_1[[#This Row],[UTILIDAD COBRADA]]/Table_1[[#This Row],[UTILIDAD ESPERADA]]</f>
        <v>0.66496803697592977</v>
      </c>
      <c r="I11" s="133" t="s">
        <v>354</v>
      </c>
      <c r="K11" s="64"/>
      <c r="L11" s="64"/>
    </row>
    <row r="12" spans="1:12" s="63" customFormat="1" ht="59.2" customHeight="1">
      <c r="A12" s="215" t="s">
        <v>80</v>
      </c>
      <c r="B12" s="216" t="str">
        <f>NACAJUCA!E4</f>
        <v>-</v>
      </c>
      <c r="C12" s="216" t="str">
        <f>NACAJUCA!G4</f>
        <v>-</v>
      </c>
      <c r="D12" s="216"/>
      <c r="E12" s="123" t="s">
        <v>196</v>
      </c>
      <c r="F12" s="216">
        <f>NACAJUCA!I4</f>
        <v>1095045.03</v>
      </c>
      <c r="G12" s="216">
        <f>NACAJUCA!I4</f>
        <v>1095045.03</v>
      </c>
      <c r="H12" s="123">
        <f>Table_1[[#This Row],[UTILIDAD COBRADA]]/Table_1[[#This Row],[UTILIDAD ESPERADA]]</f>
        <v>1</v>
      </c>
      <c r="I12" s="133" t="s">
        <v>201</v>
      </c>
      <c r="K12" s="64"/>
      <c r="L12" s="64"/>
    </row>
    <row r="13" spans="1:12" s="63" customFormat="1" ht="59.2" customHeight="1">
      <c r="A13" s="215" t="s">
        <v>81</v>
      </c>
      <c r="B13" s="216">
        <f>NAUCALPAN!E4</f>
        <v>3000000</v>
      </c>
      <c r="C13" s="216">
        <f>NAUCALPAN!G4</f>
        <v>10742197.02</v>
      </c>
      <c r="D13" s="216"/>
      <c r="E13" s="123">
        <f>IF(Table_1[[#This Row],[RECUPERADO]]/Table_1[[#This Row],[APORTACIÓN]]&gt;=100%,100%,Table_1[[#This Row],[RECUPERADO]]/Table_1[[#This Row],[APORTACIÓN]])</f>
        <v>1</v>
      </c>
      <c r="F13" s="216">
        <f>NAUCALPAN!I4</f>
        <v>7742196.0199999996</v>
      </c>
      <c r="G13" s="216">
        <f>NAUCALPAN!I4</f>
        <v>7742196.0199999996</v>
      </c>
      <c r="H13" s="123">
        <f>Table_1[[#This Row],[UTILIDAD COBRADA]]/Table_1[[#This Row],[UTILIDAD ESPERADA]]</f>
        <v>1</v>
      </c>
      <c r="I13" s="133" t="s">
        <v>202</v>
      </c>
      <c r="K13" s="64"/>
      <c r="L13" s="64"/>
    </row>
    <row r="14" spans="1:12" s="63" customFormat="1" ht="81.8" customHeight="1">
      <c r="A14" s="215" t="s">
        <v>82</v>
      </c>
      <c r="B14" s="216" t="str">
        <f>PARAISO!E4</f>
        <v>-</v>
      </c>
      <c r="C14" s="216" t="s">
        <v>1</v>
      </c>
      <c r="D14" s="216"/>
      <c r="E14" s="123" t="s">
        <v>196</v>
      </c>
      <c r="F14" s="216">
        <f>PARAISO!I18</f>
        <v>10468440.497710347</v>
      </c>
      <c r="G14" s="216">
        <f>PARAISO!G4</f>
        <v>4425683.1783848284</v>
      </c>
      <c r="H14" s="123">
        <f>Table_1[[#This Row],[UTILIDAD COBRADA]]/Table_1[[#This Row],[UTILIDAD ESPERADA]]</f>
        <v>0.42276432476764919</v>
      </c>
      <c r="I14" s="133" t="s">
        <v>203</v>
      </c>
      <c r="K14" s="64"/>
      <c r="L14" s="64"/>
    </row>
    <row r="15" spans="1:12" s="63" customFormat="1" ht="80.349999999999994" customHeight="1">
      <c r="A15" s="215" t="s">
        <v>83</v>
      </c>
      <c r="B15" s="216">
        <f>PICHU!E4</f>
        <v>3000000</v>
      </c>
      <c r="C15" s="216">
        <f>PICHU!G4</f>
        <v>2636541.922890807</v>
      </c>
      <c r="D15" s="216">
        <f>GENERAL!$B15-GENERAL!$C15</f>
        <v>363458.07710919296</v>
      </c>
      <c r="E15" s="123">
        <f>IF(Table_1[[#This Row],[RECUPERADO]]/Table_1[[#This Row],[APORTACIÓN]]&gt;=100%,100%,Table_1[[#This Row],[RECUPERADO]]/Table_1[[#This Row],[APORTACIÓN]])</f>
        <v>0.87884730763026897</v>
      </c>
      <c r="F15" s="216">
        <f>PICHU!I4</f>
        <v>253295.62672414025</v>
      </c>
      <c r="G15" s="216">
        <v>0</v>
      </c>
      <c r="H15" s="123">
        <f>Table_1[[#This Row],[UTILIDAD COBRADA]]/Table_1[[#This Row],[UTILIDAD ESPERADA]]</f>
        <v>0</v>
      </c>
      <c r="I15" s="133" t="s">
        <v>353</v>
      </c>
      <c r="K15" s="64"/>
      <c r="L15" s="64"/>
    </row>
    <row r="16" spans="1:12" s="63" customFormat="1" ht="59.2" customHeight="1">
      <c r="A16" s="215" t="s">
        <v>84</v>
      </c>
      <c r="B16" s="216">
        <f>PLAYA!E4</f>
        <v>6000000</v>
      </c>
      <c r="C16" s="216">
        <f>PLAYA!G4</f>
        <v>4353853.6174999997</v>
      </c>
      <c r="D16" s="216">
        <f>GENERAL!$B16-GENERAL!$C16</f>
        <v>1646146.3825000003</v>
      </c>
      <c r="E16" s="123">
        <f>IF(Table_1[[#This Row],[RECUPERADO]]/Table_1[[#This Row],[APORTACIÓN]]&gt;=100%,100%,Table_1[[#This Row],[RECUPERADO]]/Table_1[[#This Row],[APORTACIÓN]])</f>
        <v>0.72564226958333333</v>
      </c>
      <c r="F16" s="216">
        <f>PLAYA!H15-PLAYA!E4</f>
        <v>1153738.2499999991</v>
      </c>
      <c r="G16" s="216">
        <v>0</v>
      </c>
      <c r="H16" s="123">
        <f>Table_1[[#This Row],[UTILIDAD COBRADA]]/Table_1[[#This Row],[UTILIDAD ESPERADA]]</f>
        <v>0</v>
      </c>
      <c r="I16" s="133" t="s">
        <v>352</v>
      </c>
      <c r="K16" s="64"/>
      <c r="L16" s="64"/>
    </row>
    <row r="17" spans="1:12" s="63" customFormat="1" ht="59.2" customHeight="1">
      <c r="A17" s="215" t="s">
        <v>85</v>
      </c>
      <c r="B17" s="216">
        <f>TUXTLA!E4</f>
        <v>3500000</v>
      </c>
      <c r="C17" s="216">
        <f>TUXTLA!G4</f>
        <v>4536746.5475137932</v>
      </c>
      <c r="D17" s="216"/>
      <c r="E17" s="123">
        <f>IF(Table_1[[#This Row],[RECUPERADO]]/Table_1[[#This Row],[APORTACIÓN]]&gt;=100%,100%,Table_1[[#This Row],[RECUPERADO]]/Table_1[[#This Row],[APORTACIÓN]])</f>
        <v>1</v>
      </c>
      <c r="F17" s="216">
        <f>TUXTLA!I4</f>
        <v>5657491.7214137912</v>
      </c>
      <c r="G17" s="216">
        <f>TUXTLA!G4-TUXTLA!E4</f>
        <v>1036746.5475137932</v>
      </c>
      <c r="H17" s="123">
        <f>Table_1[[#This Row],[UTILIDAD COBRADA]]/Table_1[[#This Row],[UTILIDAD ESPERADA]]</f>
        <v>0.18325197783139013</v>
      </c>
      <c r="I17" s="133" t="s">
        <v>351</v>
      </c>
      <c r="K17" s="64"/>
      <c r="L17" s="64"/>
    </row>
    <row r="18" spans="1:12" s="63" customFormat="1" ht="59.2" customHeight="1">
      <c r="A18" s="215" t="s">
        <v>86</v>
      </c>
      <c r="B18" s="216">
        <f>TEAPA!E4</f>
        <v>5240000</v>
      </c>
      <c r="C18" s="216">
        <f>TEAPA!G4</f>
        <v>6934692.0592421535</v>
      </c>
      <c r="D18" s="216"/>
      <c r="E18" s="123">
        <f>IF(Table_1[[#This Row],[RECUPERADO]]/Table_1[[#This Row],[APORTACIÓN]]&gt;=100%,100%,Table_1[[#This Row],[RECUPERADO]]/Table_1[[#This Row],[APORTACIÓN]])</f>
        <v>1</v>
      </c>
      <c r="F18" s="216">
        <f>TEAPA!H31-TEAPA!E4</f>
        <v>4986253.4199896567</v>
      </c>
      <c r="G18" s="216">
        <f>TEAPA!G4-TEAPA!E4</f>
        <v>1694692.0592421535</v>
      </c>
      <c r="H18" s="123">
        <f>Table_1[[#This Row],[UTILIDAD COBRADA]]/Table_1[[#This Row],[UTILIDAD ESPERADA]]</f>
        <v>0.3398728296576769</v>
      </c>
      <c r="I18" s="133" t="s">
        <v>311</v>
      </c>
      <c r="K18" s="64"/>
      <c r="L18" s="64"/>
    </row>
    <row r="19" spans="1:12" s="63" customFormat="1" ht="59.2" customHeight="1">
      <c r="A19" s="215" t="s">
        <v>87</v>
      </c>
      <c r="B19" s="216">
        <f>TULUM!E4</f>
        <v>1500000</v>
      </c>
      <c r="C19" s="216">
        <f>TULUM!G4</f>
        <v>0</v>
      </c>
      <c r="D19" s="216">
        <f>GENERAL!$B19-GENERAL!$C19</f>
        <v>1500000</v>
      </c>
      <c r="E19" s="123">
        <f>IF(Table_1[[#This Row],[RECUPERADO]]/Table_1[[#This Row],[APORTACIÓN]]&gt;=100%,100%,Table_1[[#This Row],[RECUPERADO]]/Table_1[[#This Row],[APORTACIÓN]])</f>
        <v>0</v>
      </c>
      <c r="F19" s="216">
        <f>COMALCALCO!I17</f>
        <v>0</v>
      </c>
      <c r="G19" s="216">
        <v>0</v>
      </c>
      <c r="H19" s="123" t="s">
        <v>199</v>
      </c>
      <c r="I19" s="133" t="s">
        <v>195</v>
      </c>
      <c r="K19" s="64"/>
      <c r="L19" s="64"/>
    </row>
    <row r="20" spans="1:12" s="63" customFormat="1" ht="69.55" customHeight="1">
      <c r="A20" s="215" t="s">
        <v>88</v>
      </c>
      <c r="B20" s="216">
        <f>XOCHI!E4</f>
        <v>4000000</v>
      </c>
      <c r="C20" s="216">
        <f>XOCHI!G4</f>
        <v>6846881.5450000009</v>
      </c>
      <c r="D20" s="216"/>
      <c r="E20" s="123">
        <f>IF(Table_1[[#This Row],[RECUPERADO]]/Table_1[[#This Row],[APORTACIÓN]]&gt;=100%,100%,Table_1[[#This Row],[RECUPERADO]]/Table_1[[#This Row],[APORTACIÓN]])</f>
        <v>1</v>
      </c>
      <c r="F20" s="216">
        <f>XOCHI!I12-XOCHI!E4</f>
        <v>24903411.879999999</v>
      </c>
      <c r="G20" s="216">
        <f>XOCHI!G4-XOCHI!E4</f>
        <v>2846881.5450000009</v>
      </c>
      <c r="H20" s="123">
        <f>Table_1[[#This Row],[UTILIDAD COBRADA]]/Table_1[[#This Row],[UTILIDAD ESPERADA]]</f>
        <v>0.1143169280867229</v>
      </c>
      <c r="I20" s="133" t="s">
        <v>349</v>
      </c>
      <c r="K20" s="64"/>
      <c r="L20" s="64"/>
    </row>
    <row r="21" spans="1:12" s="63" customFormat="1" ht="59.2" customHeight="1">
      <c r="A21" s="215" t="s">
        <v>89</v>
      </c>
      <c r="B21" s="216">
        <f>VERACRUZ!E4</f>
        <v>13790000</v>
      </c>
      <c r="C21" s="216">
        <f>VERACRUZ!H4</f>
        <v>2067853.8996446179</v>
      </c>
      <c r="D21" s="216">
        <f>GENERAL!$B21-GENERAL!$C21</f>
        <v>11722146.100355383</v>
      </c>
      <c r="E21" s="123">
        <f>IF(Table_1[[#This Row],[RECUPERADO]]/Table_1[[#This Row],[APORTACIÓN]]&gt;=100%,100%,Table_1[[#This Row],[RECUPERADO]]/Table_1[[#This Row],[APORTACIÓN]])</f>
        <v>0.14995314718235084</v>
      </c>
      <c r="F21" s="216">
        <f>VERACRUZ!J47-VERACRUZ!G47</f>
        <v>8060931.1885519996</v>
      </c>
      <c r="G21" s="216"/>
      <c r="H21" s="123">
        <f>Table_1[[#This Row],[UTILIDAD COBRADA]]/Table_1[[#This Row],[UTILIDAD ESPERADA]]</f>
        <v>0</v>
      </c>
      <c r="I21" s="133" t="s">
        <v>348</v>
      </c>
      <c r="K21" s="64"/>
      <c r="L21" s="64"/>
    </row>
    <row r="22" spans="1:12" s="63" customFormat="1" ht="59.2" customHeight="1">
      <c r="A22" s="215" t="s">
        <v>90</v>
      </c>
      <c r="B22" s="216">
        <f>ZITACUARO!E4</f>
        <v>2000000</v>
      </c>
      <c r="C22" s="216">
        <f>ZITACUARO!G4</f>
        <v>411623.55908045976</v>
      </c>
      <c r="D22" s="216">
        <f>GENERAL!$B22-GENERAL!$C22</f>
        <v>1588376.4409195404</v>
      </c>
      <c r="E22" s="123">
        <f>IF(Table_1[[#This Row],[RECUPERADO]]/Table_1[[#This Row],[APORTACIÓN]]&gt;=100%,100%,Table_1[[#This Row],[RECUPERADO]]/Table_1[[#This Row],[APORTACIÓN]])</f>
        <v>0.20581177954022989</v>
      </c>
      <c r="F22" s="216">
        <f>COMALCALCO!I20</f>
        <v>0</v>
      </c>
      <c r="G22" s="216">
        <v>0</v>
      </c>
      <c r="H22" s="123" t="s">
        <v>199</v>
      </c>
      <c r="I22" s="133" t="s">
        <v>350</v>
      </c>
      <c r="K22" s="64"/>
      <c r="L22" s="64"/>
    </row>
    <row r="23" spans="1:12" s="189" customFormat="1" ht="25.95">
      <c r="A23" s="186" t="s">
        <v>91</v>
      </c>
      <c r="B23" s="187">
        <f>SUM(B3:B22)</f>
        <v>57058000</v>
      </c>
      <c r="C23" s="187">
        <f>SUM(C3:C22)</f>
        <v>50607546.853667438</v>
      </c>
      <c r="D23" s="187">
        <f>SUM(D3:D22)</f>
        <v>23394218.850690711</v>
      </c>
      <c r="E23" s="218">
        <f>Table_1[[#This Row],[RECUPERADO]]/Table_1[[#This Row],[APORTACIÓN]]</f>
        <v>0.88694918948556623</v>
      </c>
      <c r="F23" s="187">
        <f>SUM(F3:F22)</f>
        <v>68152471.347594321</v>
      </c>
      <c r="G23" s="187">
        <f t="shared" ref="G23" si="0">SUM(G3:G22)</f>
        <v>22464492.91274298</v>
      </c>
      <c r="H23" s="218">
        <f>Table_1[[#This Row],[UTILIDAD COBRADA]]/Table_1[[#This Row],[UTILIDAD ESPERADA]]</f>
        <v>0.32962110498045705</v>
      </c>
      <c r="I23" s="188"/>
    </row>
  </sheetData>
  <mergeCells count="1">
    <mergeCell ref="A1:I1"/>
  </mergeCells>
  <conditionalFormatting sqref="D3:D22">
    <cfRule type="cellIs" dxfId="4" priority="6" operator="greaterThan">
      <formula>0</formula>
    </cfRule>
  </conditionalFormatting>
  <conditionalFormatting sqref="E3:E22 H4:H22">
    <cfRule type="colorScale" priority="4">
      <colorScale>
        <cfvo type="num" val="0"/>
        <cfvo type="num" val="0.45"/>
        <cfvo type="num" val="0.8"/>
        <color rgb="FFF8696B"/>
        <color rgb="FFFFEB84"/>
        <color rgb="FF63BE7B"/>
      </colorScale>
    </cfRule>
    <cfRule type="cellIs" dxfId="3" priority="5" operator="lessThan">
      <formula>0.3</formula>
    </cfRule>
  </conditionalFormatting>
  <conditionalFormatting sqref="F3:G22">
    <cfRule type="cellIs" dxfId="2" priority="7" operator="greaterThan">
      <formula>0</formula>
    </cfRule>
  </conditionalFormatting>
  <conditionalFormatting sqref="H3:H4">
    <cfRule type="colorScale" priority="2">
      <colorScale>
        <cfvo type="num" val="0"/>
        <cfvo type="num" val="0.45"/>
        <cfvo type="num" val="0.8"/>
        <color rgb="FFF8696B"/>
        <color rgb="FFFFEB84"/>
        <color rgb="FF63BE7B"/>
      </colorScale>
    </cfRule>
    <cfRule type="cellIs" dxfId="1" priority="3" operator="lessThan">
      <formula>0.3</formula>
    </cfRule>
  </conditionalFormatting>
  <conditionalFormatting sqref="H3:H22">
    <cfRule type="cellIs" dxfId="0" priority="1" operator="equal">
      <formula>"SIN UTI"</formula>
    </cfRule>
  </conditionalFormatting>
  <pageMargins left="0.39370078740157483" right="0.47244094488188981" top="0.74803149606299213" bottom="0.74803149606299213" header="0" footer="0"/>
  <pageSetup scale="45" fitToHeight="0" orientation="landscape" horizontalDpi="360" verticalDpi="360" r:id="rId1"/>
  <headerFooter>
    <oddFooter>&amp;L&amp;B Confidencial&amp;B&amp;C&amp;D&amp;RPágina &amp;P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CFC9-3C49-41EF-850C-348312AC4A5F}">
  <dimension ref="A1"/>
  <sheetViews>
    <sheetView zoomScale="40" zoomScaleNormal="40" workbookViewId="0">
      <selection activeCell="P45" sqref="P45"/>
    </sheetView>
  </sheetViews>
  <sheetFormatPr baseColWidth="10" defaultRowHeight="14.4"/>
  <sheetData/>
  <pageMargins left="0.70866141732283472" right="0.70866141732283472" top="0.74803149606299213" bottom="0.74803149606299213" header="0.31496062992125984" footer="0.31496062992125984"/>
  <pageSetup scale="70" orientation="landscape" horizontalDpi="360" verticalDpi="360" r:id="rId1"/>
  <headerFooter>
    <oddFooter>Página &amp;P de &amp;F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C696-6555-44DC-8E69-A80D9F400A70}">
  <dimension ref="B2:B12"/>
  <sheetViews>
    <sheetView workbookViewId="0">
      <selection activeCell="C12" sqref="C12"/>
    </sheetView>
  </sheetViews>
  <sheetFormatPr baseColWidth="10" defaultRowHeight="14.4"/>
  <cols>
    <col min="2" max="2" width="21.69921875" bestFit="1" customWidth="1"/>
  </cols>
  <sheetData>
    <row r="2" spans="2:2">
      <c r="B2" s="223" t="s">
        <v>228</v>
      </c>
    </row>
    <row r="3" spans="2:2">
      <c r="B3" s="222">
        <v>2025</v>
      </c>
    </row>
    <row r="4" spans="2:2">
      <c r="B4" s="222">
        <v>2026</v>
      </c>
    </row>
    <row r="6" spans="2:2">
      <c r="B6" s="223" t="s">
        <v>229</v>
      </c>
    </row>
    <row r="7" spans="2:2">
      <c r="B7" s="221" t="s">
        <v>230</v>
      </c>
    </row>
    <row r="8" spans="2:2">
      <c r="B8" s="221" t="s">
        <v>231</v>
      </c>
    </row>
    <row r="9" spans="2:2">
      <c r="B9" s="221" t="s">
        <v>232</v>
      </c>
    </row>
    <row r="10" spans="2:2">
      <c r="B10" s="221" t="s">
        <v>233</v>
      </c>
    </row>
    <row r="11" spans="2:2">
      <c r="B11" s="221" t="s">
        <v>234</v>
      </c>
    </row>
    <row r="12" spans="2:2">
      <c r="B12" s="221" t="s">
        <v>235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</vt:i4>
      </vt:variant>
    </vt:vector>
  </HeadingPairs>
  <TitlesOfParts>
    <vt:vector size="27" baseType="lpstr">
      <vt:lpstr>BALANCAN</vt:lpstr>
      <vt:lpstr>CENTLA</vt:lpstr>
      <vt:lpstr>COMALCALCO</vt:lpstr>
      <vt:lpstr>DURANGO</vt:lpstr>
      <vt:lpstr>ENSENADA</vt:lpstr>
      <vt:lpstr>JALPA</vt:lpstr>
      <vt:lpstr>JALAPA</vt:lpstr>
      <vt:lpstr>JONUTA</vt:lpstr>
      <vt:lpstr>MERIDA</vt:lpstr>
      <vt:lpstr>NACAJUCA</vt:lpstr>
      <vt:lpstr>NAUCALPAN</vt:lpstr>
      <vt:lpstr>PARAISO</vt:lpstr>
      <vt:lpstr>PICHU</vt:lpstr>
      <vt:lpstr>PLAYA</vt:lpstr>
      <vt:lpstr>TUXTLA</vt:lpstr>
      <vt:lpstr>TEAPA</vt:lpstr>
      <vt:lpstr>TULUM</vt:lpstr>
      <vt:lpstr>XOCHI</vt:lpstr>
      <vt:lpstr>VERACRUZ</vt:lpstr>
      <vt:lpstr>ZITACUARO</vt:lpstr>
      <vt:lpstr>GENERAL</vt:lpstr>
      <vt:lpstr>GRAFICAS</vt:lpstr>
      <vt:lpstr>Hoja1</vt:lpstr>
      <vt:lpstr>GENERAL!Títulos_a_imprimir</vt:lpstr>
      <vt:lpstr>JALPA!Títulos_a_imprimir</vt:lpstr>
      <vt:lpstr>PICHU!Títulos_a_imprimir</vt:lpstr>
      <vt:lpstr>VERACRUZ!Títulos_a_imprimir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veronica leon andrade</cp:lastModifiedBy>
  <cp:lastPrinted>2026-06-15T16:08:57Z</cp:lastPrinted>
  <dcterms:created xsi:type="dcterms:W3CDTF">2025-01-28T01:19:44Z</dcterms:created>
  <dcterms:modified xsi:type="dcterms:W3CDTF">2026-07-02T12:49:50Z</dcterms:modified>
</cp:coreProperties>
</file>